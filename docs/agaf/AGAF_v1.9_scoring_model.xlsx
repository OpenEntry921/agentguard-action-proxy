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29eff61a5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a95f78de4d4b40"/>
    <x:sheet xmlns:r="http://schemas.openxmlformats.org/officeDocument/2006/relationships" name="AGAF Master" sheetId="2" r:id="R6c15908797424377"/>
    <x:sheet xmlns:r="http://schemas.openxmlformats.org/officeDocument/2006/relationships" name="D01 Agent Identity" sheetId="3" r:id="R9fb9841bc98044ea"/>
    <x:sheet xmlns:r="http://schemas.openxmlformats.org/officeDocument/2006/relationships" name="D02 Agent Trust" sheetId="4" r:id="R9e721ec0c28e4400"/>
    <x:sheet xmlns:r="http://schemas.openxmlformats.org/officeDocument/2006/relationships" name="D03 Runtime Decision Control" sheetId="5" r:id="R12b5cf05419e4b69"/>
    <x:sheet xmlns:r="http://schemas.openxmlformats.org/officeDocument/2006/relationships" name="D04 Financial Actions" sheetId="6" r:id="R80a3d95e706e4109"/>
    <x:sheet xmlns:r="http://schemas.openxmlformats.org/officeDocument/2006/relationships" name="D05 Infrastructure Changes" sheetId="7" r:id="Re32cb92a2a534036"/>
    <x:sheet xmlns:r="http://schemas.openxmlformats.org/officeDocument/2006/relationships" name="D06 Human Override" sheetId="8" r:id="R217db17932ed4afe"/>
    <x:sheet xmlns:r="http://schemas.openxmlformats.org/officeDocument/2006/relationships" name="D07 Delegation" sheetId="9" r:id="R4f782b9b1db34d98"/>
    <x:sheet xmlns:r="http://schemas.openxmlformats.org/officeDocument/2006/relationships" name="D08 AI Risk Management" sheetId="10" r:id="R46470785ac9c4bc8"/>
    <x:sheet xmlns:r="http://schemas.openxmlformats.org/officeDocument/2006/relationships" name="D09 Tool Usage" sheetId="11" r:id="Ra9d12afb2f4b4081"/>
    <x:sheet xmlns:r="http://schemas.openxmlformats.org/officeDocument/2006/relationships" name="D10 External API" sheetId="12" r:id="R184a8cec41e6487d"/>
    <x:sheet xmlns:r="http://schemas.openxmlformats.org/officeDocument/2006/relationships" name="D11 Data Access" sheetId="13" r:id="Rf5fa00c727a3417b"/>
    <x:sheet xmlns:r="http://schemas.openxmlformats.org/officeDocument/2006/relationships" name="D12 Data Leakage" sheetId="14" r:id="Rb0faa14d33be4dc5"/>
    <x:sheet xmlns:r="http://schemas.openxmlformats.org/officeDocument/2006/relationships" name="D13 Privacy" sheetId="15" r:id="Reb0f3d8b5884478f"/>
    <x:sheet xmlns:r="http://schemas.openxmlformats.org/officeDocument/2006/relationships" name="D14 Knowledge Sources" sheetId="16" r:id="Rf928e3778ee94b52"/>
    <x:sheet xmlns:r="http://schemas.openxmlformats.org/officeDocument/2006/relationships" name="D15 Hallucination" sheetId="17" r:id="R66c6273acc1a4685"/>
    <x:sheet xmlns:r="http://schemas.openxmlformats.org/officeDocument/2006/relationships" name="D16 Prompt Security" sheetId="18" r:id="R76b6cc838f7e4fd8"/>
    <x:sheet xmlns:r="http://schemas.openxmlformats.org/officeDocument/2006/relationships" name="D17 Model Governance" sheetId="19" r:id="R877d063e69f142a7"/>
    <x:sheet xmlns:r="http://schemas.openxmlformats.org/officeDocument/2006/relationships" name="D18 Supply Chain" sheetId="20" r:id="Rdfd506b672784e01"/>
    <x:sheet xmlns:r="http://schemas.openxmlformats.org/officeDocument/2006/relationships" name="D19 Third Party Agents" sheetId="21" r:id="Rd677eb6557f341ed"/>
    <x:sheet xmlns:r="http://schemas.openxmlformats.org/officeDocument/2006/relationships" name="D20 Multi Agent Governance" sheetId="22" r:id="R85a52f0216d44239"/>
    <x:sheet xmlns:r="http://schemas.openxmlformats.org/officeDocument/2006/relationships" name="D21 Auditability" sheetId="23" r:id="R9d5c328a04e041f6"/>
    <x:sheet xmlns:r="http://schemas.openxmlformats.org/officeDocument/2006/relationships" name="D22 Explainability" sheetId="24" r:id="R89ced235251741f3"/>
    <x:sheet xmlns:r="http://schemas.openxmlformats.org/officeDocument/2006/relationships" name="D23 Compliance" sheetId="25" r:id="Rf186be29578f480e"/>
    <x:sheet xmlns:r="http://schemas.openxmlformats.org/officeDocument/2006/relationships" name="D24 Business Continuity" sheetId="26" r:id="R7eca0d479ae1459f"/>
    <x:sheet xmlns:r="http://schemas.openxmlformats.org/officeDocument/2006/relationships" name="D25 Strategic Governance" sheetId="27" r:id="R593620c5031e4f27"/>
    <x:sheet xmlns:r="http://schemas.openxmlformats.org/officeDocument/2006/relationships" name="Structure Review" sheetId="28" r:id="R6217f95b89724b7c"/>
    <x:sheet xmlns:r="http://schemas.openxmlformats.org/officeDocument/2006/relationships" name="Standards Crosswalk" sheetId="29" r:id="R515fbb9953634afa"/>
    <x:sheet xmlns:r="http://schemas.openxmlformats.org/officeDocument/2006/relationships" name="Revision Backlog" sheetId="30" r:id="Re2c5edd421bb4735"/>
    <x:sheet xmlns:r="http://schemas.openxmlformats.org/officeDocument/2006/relationships" name="Added Questions v1.1" sheetId="31" r:id="Rfbcfbce9508f4aab"/>
    <x:sheet xmlns:r="http://schemas.openxmlformats.org/officeDocument/2006/relationships" name="Standards Coverage Summary" sheetId="32" r:id="R36ce7474e959460a"/>
    <x:sheet xmlns:r="http://schemas.openxmlformats.org/officeDocument/2006/relationships" name="Mapping Quality Review" sheetId="33" r:id="R75a2875fa54b4873"/>
    <x:sheet xmlns:r="http://schemas.openxmlformats.org/officeDocument/2006/relationships" name="Regulatory Normalization" sheetId="34" r:id="R7f86ee9a04db47cc"/>
    <x:sheet xmlns:r="http://schemas.openxmlformats.org/officeDocument/2006/relationships" name="AGAF Control Catalog" sheetId="35" r:id="Rbfceb22b797e4c33"/>
    <x:sheet xmlns:r="http://schemas.openxmlformats.org/officeDocument/2006/relationships" name="Control Framework" sheetId="36" r:id="R4fbd4b3235d84dd8"/>
    <x:sheet xmlns:r="http://schemas.openxmlformats.org/officeDocument/2006/relationships" name="Question Control Mapping" sheetId="37" r:id="R8da8df937c0a4744"/>
    <x:sheet xmlns:r="http://schemas.openxmlformats.org/officeDocument/2006/relationships" name="Evidence Library" sheetId="38" r:id="R1a2672ef6a3b43db"/>
    <x:sheet xmlns:r="http://schemas.openxmlformats.org/officeDocument/2006/relationships" name="Control Coverage Summary" sheetId="39" r:id="Rd18c9f7fa8284569"/>
    <x:sheet xmlns:r="http://schemas.openxmlformats.org/officeDocument/2006/relationships" name="Runtime Rule Catalog" sheetId="40" r:id="R92753e2415af4b84"/>
    <x:sheet xmlns:r="http://schemas.openxmlformats.org/officeDocument/2006/relationships" name="Control Rule Mapping" sheetId="41" r:id="R9a104443cbdf465e"/>
    <x:sheet xmlns:r="http://schemas.openxmlformats.org/officeDocument/2006/relationships" name="Governance Report Templates" sheetId="42" r:id="R516b0fe7419d48e9"/>
    <x:sheet xmlns:r="http://schemas.openxmlformats.org/officeDocument/2006/relationships" name="Report Control Mapping" sheetId="43" r:id="R4b3c0561a3cd44bb"/>
    <x:sheet xmlns:r="http://schemas.openxmlformats.org/officeDocument/2006/relationships" name="Report Rule Mapping" sheetId="44" r:id="R5d954f91693b421d"/>
    <x:sheet xmlns:r="http://schemas.openxmlformats.org/officeDocument/2006/relationships" name="Governance Dashboard Summary" sheetId="45" r:id="Rf7f7f3602b6d4433"/>
    <x:sheet xmlns:r="http://schemas.openxmlformats.org/officeDocument/2006/relationships" name="Scoring Model" sheetId="46" r:id="R25a1c4a2e2e84b74"/>
    <x:sheet xmlns:r="http://schemas.openxmlformats.org/officeDocument/2006/relationships" name="Domain Scoring Matrix" sheetId="47" r:id="R51699e3582d14ac6"/>
    <x:sheet xmlns:r="http://schemas.openxmlformats.org/officeDocument/2006/relationships" name="Control Scoring Matrix" sheetId="48" r:id="Rc0a491718c484a23"/>
    <x:sheet xmlns:r="http://schemas.openxmlformats.org/officeDocument/2006/relationships" name="AGAF Maturity Levels" sheetId="49" r:id="Rfcfa39d875ab4148"/>
    <x:sheet xmlns:r="http://schemas.openxmlformats.org/officeDocument/2006/relationships" name="Scoring Summary" sheetId="50" r:id="R1bd2e1e2e520457f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<x:sst xmlns:x="http://schemas.openxmlformats.org/spreadsheetml/2006/main">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</x:sst>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0%"/>
    <x:numFmt numFmtId="201" formatCode="0.00 &quot;pts&quot;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13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33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center" vertical="bottom" wrapText="0"/>
    </x:xf>
    <x:xf numFmtId="164" fontId="22" fillId="29" borderId="0" xfId="0" applyNumberFormat="1" applyFont="1" applyFill="1" applyBorder="1" applyAlignment="1">
      <x:alignment horizontal="center" vertical="center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1"/>
    </x:xf>
    <x:xf numFmtId="164" fontId="28" fillId="30" borderId="0" xfId="0" applyNumberFormat="1" applyFont="1" applyFill="1" applyBorder="1" applyAlignment="1">
      <x:alignment horizontal="center" vertical="bottom" wrapText="1"/>
    </x:xf>
    <x:xf numFmtId="164" fontId="28" fillId="30" borderId="0" xfId="0" applyNumberFormat="1" applyFont="1" applyFill="1" applyBorder="1" applyAlignment="1">
      <x:alignment horizontal="center" vertical="center" wrapText="1"/>
    </x:xf>
    <x:xf numFmtId="164" fontId="18" fillId="30" borderId="0" xfId="0" applyNumberFormat="1" applyFont="1" applyFill="1" applyBorder="1" applyAlignment="1">
      <x:alignment horizontal="general" vertical="bottom" wrapText="0"/>
    </x:xf>
    <x:xf numFmtId="164" fontId="18" fillId="30" borderId="0" xfId="0" applyNumberFormat="1" applyFont="1" applyFill="1" applyBorder="1" applyAlignment="1">
      <x:alignment horizontal="center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center" vertical="bottom" wrapText="0"/>
    </x:xf>
    <x:xf numFmtId="164" fontId="22" fillId="31" borderId="0" xfId="0" applyNumberFormat="1" applyFont="1" applyFill="1" applyBorder="1" applyAlignment="1">
      <x:alignment horizontal="center" vertical="center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1"/>
    </x:xf>
    <x:xf numFmtId="164" fontId="28" fillId="32" borderId="0" xfId="0" applyNumberFormat="1" applyFont="1" applyFill="1" applyBorder="1" applyAlignment="1">
      <x:alignment horizontal="center" vertical="bottom" wrapText="1"/>
    </x:xf>
    <x:xf numFmtId="164" fontId="28" fillId="32" borderId="0" xfId="0" applyNumberFormat="1" applyFont="1" applyFill="1" applyBorder="1" applyAlignment="1">
      <x:alignment horizontal="center" vertical="center" wrapText="1"/>
    </x:xf>
    <x:xf numFmtId="164" fontId="18" fillId="32" borderId="0" xfId="0" applyNumberFormat="1" applyFont="1" applyFill="1" applyBorder="1" applyAlignment="1">
      <x:alignment horizontal="general" vertical="bottom" wrapText="0"/>
    </x:xf>
    <x:xf numFmtId="164" fontId="18" fillId="32" borderId="0" xfId="0" applyNumberFormat="1" applyFont="1" applyFill="1" applyBorder="1" applyAlignment="1">
      <x:alignment horizontal="center" vertical="bottom" wrapText="0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18" fillId="33" borderId="0" xfId="0" applyNumberFormat="1" applyFont="1" applyFill="1" applyBorder="1" applyAlignment="1">
      <x:alignment horizontal="general" vertical="bottom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center" vertical="bottom" wrapText="0"/>
    </x:xf>
    <x:xf numFmtId="164" fontId="22" fillId="34" borderId="0" xfId="0" applyNumberFormat="1" applyFont="1" applyFill="1" applyBorder="1" applyAlignment="1">
      <x:alignment horizontal="center" vertical="center" wrapText="0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1"/>
    </x:xf>
    <x:xf numFmtId="164" fontId="18" fillId="35" borderId="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center" wrapText="1"/>
    </x:xf>
    <x:xf numFmtId="164" fontId="0" fillId="36" borderId="0" xfId="0" applyNumberFormat="1" applyFont="1" applyFill="1" applyBorder="1" applyAlignment="1">
      <x:alignment horizontal="general" vertical="bottom" wrapText="0"/>
    </x:xf>
    <x:xf numFmtId="164" fontId="18" fillId="36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top" wrapText="1"/>
    </x:xf>
    <x:xf numFmtId="164" fontId="0" fillId="0" borderId="10" xfId="0" applyNumberFormat="1" applyFont="1" applyFill="1" applyBorder="1" applyAlignment="1">
      <x:alignment horizontal="center" vertical="top" wrapText="1"/>
    </x:xf>
    <x:xf numFmtId="164" fontId="0" fillId="0" xfId="0" applyNumberFormat="1" applyFont="1" applyFill="1" applyBorder="0" applyAlignment="1">
      <x:alignment horizontal="center" vertical="bottom" wrapText="1"/>
    </x:xf>
    <x:xf numFmtId="164" fontId="0" fillId="0" borderId="10" xfId="0" applyNumberFormat="1" applyFont="1" applyFill="1" applyBorder="1" applyAlignment="1">
      <x:alignment horizontal="center" vertical="bottom" wrapText="1"/>
    </x:xf>
    <x:xf numFmtId="201" fontId="0" fillId="0" xfId="0" applyNumberFormat="1" applyFont="1" applyFill="1" applyBorder="0" applyAlignment="1">
      <x:alignment horizontal="center" vertical="bottom" wrapText="1"/>
    </x:xf>
    <x:xf numFmtId="201" fontId="0" fillId="0" borderId="1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3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674EA7"/>
      </x:font>
      <x:fill>
        <x:patternFill>
          <x:bgColor rgb="FFD9D2E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970f2297e4218" /><Relationship Type="http://schemas.openxmlformats.org/officeDocument/2006/relationships/theme" Target="/xl/theme/theme1.xml" Id="Rfc34062a8a7e40b1" /><Relationship Type="http://schemas.openxmlformats.org/officeDocument/2006/relationships/sharedStrings" Target="/xl/sharedStrings.xml" Id="R95367a99a4e1424e" /><Relationship Type="http://schemas.openxmlformats.org/officeDocument/2006/relationships/worksheet" Target="/xl/worksheets/sheet1.xml" Id="R06a95f78de4d4b40" /><Relationship Type="http://schemas.openxmlformats.org/officeDocument/2006/relationships/worksheet" Target="/xl/worksheets/sheet2.xml" Id="R6c15908797424377" /><Relationship Type="http://schemas.openxmlformats.org/officeDocument/2006/relationships/worksheet" Target="/xl/worksheets/sheet3.xml" Id="R9fb9841bc98044ea" /><Relationship Type="http://schemas.openxmlformats.org/officeDocument/2006/relationships/worksheet" Target="/xl/worksheets/sheet4.xml" Id="R9e721ec0c28e4400" /><Relationship Type="http://schemas.openxmlformats.org/officeDocument/2006/relationships/worksheet" Target="/xl/worksheets/sheet5.xml" Id="R12b5cf05419e4b69" /><Relationship Type="http://schemas.openxmlformats.org/officeDocument/2006/relationships/worksheet" Target="/xl/worksheets/sheet6.xml" Id="R80a3d95e706e4109" /><Relationship Type="http://schemas.openxmlformats.org/officeDocument/2006/relationships/worksheet" Target="/xl/worksheets/sheet7.xml" Id="Re32cb92a2a534036" /><Relationship Type="http://schemas.openxmlformats.org/officeDocument/2006/relationships/worksheet" Target="/xl/worksheets/sheet8.xml" Id="R217db17932ed4afe" /><Relationship Type="http://schemas.openxmlformats.org/officeDocument/2006/relationships/worksheet" Target="/xl/worksheets/sheet9.xml" Id="R4f782b9b1db34d98" /><Relationship Type="http://schemas.openxmlformats.org/officeDocument/2006/relationships/worksheet" Target="/xl/worksheets/sheet10.xml" Id="R46470785ac9c4bc8" /><Relationship Type="http://schemas.openxmlformats.org/officeDocument/2006/relationships/worksheet" Target="/xl/worksheets/sheet11.xml" Id="Ra9d12afb2f4b4081" /><Relationship Type="http://schemas.openxmlformats.org/officeDocument/2006/relationships/worksheet" Target="/xl/worksheets/sheet12.xml" Id="R184a8cec41e6487d" /><Relationship Type="http://schemas.openxmlformats.org/officeDocument/2006/relationships/worksheet" Target="/xl/worksheets/sheet13.xml" Id="Rf5fa00c727a3417b" /><Relationship Type="http://schemas.openxmlformats.org/officeDocument/2006/relationships/worksheet" Target="/xl/worksheets/sheet14.xml" Id="Rb0faa14d33be4dc5" /><Relationship Type="http://schemas.openxmlformats.org/officeDocument/2006/relationships/worksheet" Target="/xl/worksheets/sheet15.xml" Id="Reb0f3d8b5884478f" /><Relationship Type="http://schemas.openxmlformats.org/officeDocument/2006/relationships/worksheet" Target="/xl/worksheets/sheet16.xml" Id="Rf928e3778ee94b52" /><Relationship Type="http://schemas.openxmlformats.org/officeDocument/2006/relationships/worksheet" Target="/xl/worksheets/sheet17.xml" Id="R66c6273acc1a4685" /><Relationship Type="http://schemas.openxmlformats.org/officeDocument/2006/relationships/worksheet" Target="/xl/worksheets/sheet18.xml" Id="R76b6cc838f7e4fd8" /><Relationship Type="http://schemas.openxmlformats.org/officeDocument/2006/relationships/worksheet" Target="/xl/worksheets/sheet19.xml" Id="R877d063e69f142a7" /><Relationship Type="http://schemas.openxmlformats.org/officeDocument/2006/relationships/worksheet" Target="/xl/worksheets/sheet20.xml" Id="Rdfd506b672784e01" /><Relationship Type="http://schemas.openxmlformats.org/officeDocument/2006/relationships/worksheet" Target="/xl/worksheets/sheet21.xml" Id="Rd677eb6557f341ed" /><Relationship Type="http://schemas.openxmlformats.org/officeDocument/2006/relationships/worksheet" Target="/xl/worksheets/sheet22.xml" Id="R85a52f0216d44239" /><Relationship Type="http://schemas.openxmlformats.org/officeDocument/2006/relationships/worksheet" Target="/xl/worksheets/sheet23.xml" Id="R9d5c328a04e041f6" /><Relationship Type="http://schemas.openxmlformats.org/officeDocument/2006/relationships/worksheet" Target="/xl/worksheets/sheet24.xml" Id="R89ced235251741f3" /><Relationship Type="http://schemas.openxmlformats.org/officeDocument/2006/relationships/worksheet" Target="/xl/worksheets/sheet25.xml" Id="Rf186be29578f480e" /><Relationship Type="http://schemas.openxmlformats.org/officeDocument/2006/relationships/worksheet" Target="/xl/worksheets/sheet26.xml" Id="R7eca0d479ae1459f" /><Relationship Type="http://schemas.openxmlformats.org/officeDocument/2006/relationships/worksheet" Target="/xl/worksheets/sheet27.xml" Id="R593620c5031e4f27" /><Relationship Type="http://schemas.openxmlformats.org/officeDocument/2006/relationships/worksheet" Target="/xl/worksheets/sheet28.xml" Id="R6217f95b89724b7c" /><Relationship Type="http://schemas.openxmlformats.org/officeDocument/2006/relationships/worksheet" Target="/xl/worksheets/sheet29.xml" Id="R515fbb9953634afa" /><Relationship Type="http://schemas.openxmlformats.org/officeDocument/2006/relationships/worksheet" Target="/xl/worksheets/sheet30.xml" Id="Re2c5edd421bb4735" /><Relationship Type="http://schemas.openxmlformats.org/officeDocument/2006/relationships/worksheet" Target="/xl/worksheets/sheet31.xml" Id="Rfbcfbce9508f4aab" /><Relationship Type="http://schemas.openxmlformats.org/officeDocument/2006/relationships/worksheet" Target="/xl/worksheets/sheet32.xml" Id="R36ce7474e959460a" /><Relationship Type="http://schemas.openxmlformats.org/officeDocument/2006/relationships/worksheet" Target="/xl/worksheets/sheet33.xml" Id="R75a2875fa54b4873" /><Relationship Type="http://schemas.openxmlformats.org/officeDocument/2006/relationships/worksheet" Target="/xl/worksheets/sheet34.xml" Id="R7f86ee9a04db47cc" /><Relationship Type="http://schemas.openxmlformats.org/officeDocument/2006/relationships/worksheet" Target="/xl/worksheets/sheet35.xml" Id="Rbfceb22b797e4c33" /><Relationship Type="http://schemas.openxmlformats.org/officeDocument/2006/relationships/worksheet" Target="/xl/worksheets/sheet36.xml" Id="R4fbd4b3235d84dd8" /><Relationship Type="http://schemas.openxmlformats.org/officeDocument/2006/relationships/worksheet" Target="/xl/worksheets/sheet37.xml" Id="R8da8df937c0a4744" /><Relationship Type="http://schemas.openxmlformats.org/officeDocument/2006/relationships/worksheet" Target="/xl/worksheets/sheet38.xml" Id="R1a2672ef6a3b43db" /><Relationship Type="http://schemas.openxmlformats.org/officeDocument/2006/relationships/worksheet" Target="/xl/worksheets/sheet39.xml" Id="Rd18c9f7fa8284569" /><Relationship Type="http://schemas.openxmlformats.org/officeDocument/2006/relationships/worksheet" Target="/xl/worksheets/sheet40.xml" Id="R92753e2415af4b84" /><Relationship Type="http://schemas.openxmlformats.org/officeDocument/2006/relationships/worksheet" Target="/xl/worksheets/sheet41.xml" Id="R9a104443cbdf465e" /><Relationship Type="http://schemas.openxmlformats.org/officeDocument/2006/relationships/worksheet" Target="/xl/worksheets/sheet42.xml" Id="R516b0fe7419d48e9" /><Relationship Type="http://schemas.openxmlformats.org/officeDocument/2006/relationships/worksheet" Target="/xl/worksheets/sheet43.xml" Id="R4b3c0561a3cd44bb" /><Relationship Type="http://schemas.openxmlformats.org/officeDocument/2006/relationships/worksheet" Target="/xl/worksheets/sheet44.xml" Id="R5d954f91693b421d" /><Relationship Type="http://schemas.openxmlformats.org/officeDocument/2006/relationships/worksheet" Target="/xl/worksheets/sheet45.xml" Id="Rf7f7f3602b6d4433" /><Relationship Type="http://schemas.openxmlformats.org/officeDocument/2006/relationships/worksheet" Target="/xl/worksheets/sheet46.xml" Id="R25a1c4a2e2e84b74" /><Relationship Type="http://schemas.openxmlformats.org/officeDocument/2006/relationships/worksheet" Target="/xl/worksheets/sheet47.xml" Id="R51699e3582d14ac6" /><Relationship Type="http://schemas.openxmlformats.org/officeDocument/2006/relationships/worksheet" Target="/xl/worksheets/sheet48.xml" Id="Rc0a491718c484a23" /><Relationship Type="http://schemas.openxmlformats.org/officeDocument/2006/relationships/worksheet" Target="/xl/worksheets/sheet49.xml" Id="Rfcfa39d875ab4148" /><Relationship Type="http://schemas.openxmlformats.org/officeDocument/2006/relationships/worksheet" Target="/xl/worksheets/sheet50.xml" Id="R1bd2e1e2e52045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4ca188d4d64e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0c27b2e8f4747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ca188d4d64e8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27b2e8f4747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713b070df7f24cb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3c2a371b02af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713b070df7f24cb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c2a371b02af47fd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62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8" hidden="0" customWidth="1"/>
  </x:cols>
  <x:sheetData>
    <x:row r="1" ht="34" customHeight="1">
      <x:c r="A1" s="194" t="str">
        <x:v>AGAF v1.7 — Runtime Rule Catalog</x:v>
      </x:c>
      <x:c r="B1" s="194"/>
      <x:c r="C1" s="194"/>
      <x:c r="D1" s="194"/>
      <x:c r="E1" s="194"/>
      <x:c r="F1" s="194"/>
      <x:c r="G1" s="194"/>
      <x:c r="H1" s="194"/>
      <x:c r="I1" s="194"/>
    </x:row>
    <x:row r="2" ht="42" customHeight="1">
      <x:c r="A2" s="199" t="str">
        <x:v>Rule ID</x:v>
      </x:c>
      <x:c r="B2" s="199" t="str">
        <x:v>Rule Name</x:v>
      </x:c>
      <x:c r="C2" s="199" t="str">
        <x:v>Source Control</x:v>
      </x:c>
      <x:c r="D2" s="199" t="str">
        <x:v>Trigger Condition</x:v>
      </x:c>
      <x:c r="E2" s="199" t="str">
        <x:v>Action</x:v>
      </x:c>
      <x:c r="F2" s="199" t="str">
        <x:v>Severity</x:v>
      </x:c>
      <x:c r="G2" s="199" t="str">
        <x:v>Runtime Component</x:v>
      </x:c>
      <x:c r="H2" s="199" t="str">
        <x:v>Human Approval Required</x:v>
      </x:c>
      <x:c r="I2" s="199" t="str">
        <x:v>Fail Safe Action</x:v>
      </x:c>
    </x:row>
    <x:row r="3" ht="46" customHeight="1">
      <x:c r="A3" s="161" t="str">
        <x:v>RULE-0001</x:v>
      </x:c>
      <x:c r="B3" s="161" t="str">
        <x:v>AI Risk Register Management Enforcement</x:v>
      </x:c>
      <x:c r="C3" s="161" t="str">
        <x:v>AGAF-C-0001</x:v>
      </x:c>
      <x:c r="D3" s="161" t="str">
        <x:v>ai_service.risk_register.exists == false</x:v>
      </x:c>
      <x:c r="E3" s="161" t="str">
        <x:v>ESCALATE</x:v>
      </x:c>
      <x:c r="F3" s="161" t="str">
        <x:v>HIGH</x:v>
      </x:c>
      <x:c r="G3" s="161" t="str">
        <x:v>Escalation Engine</x:v>
      </x:c>
      <x:c r="H3" s="161" t="str">
        <x:v>NO</x:v>
      </x:c>
      <x:c r="I3" s="162" t="str">
        <x:v>BLOCK</x:v>
      </x:c>
    </x:row>
    <x:row r="4" ht="46" customHeight="1">
      <x:c r="A4" s="161" t="str">
        <x:v>RULE-0002</x:v>
      </x:c>
      <x:c r="B4" s="161" t="str">
        <x:v>Human Approval Requirement Enforcement</x:v>
      </x:c>
      <x:c r="C4" s="161" t="str">
        <x:v>AGAF-C-0002</x:v>
      </x:c>
      <x:c r="D4" s="161" t="str">
        <x:v>human_approval.status != "APPROVED"</x:v>
      </x:c>
      <x:c r="E4" s="161" t="str">
        <x:v>BLOCK</x:v>
      </x:c>
      <x:c r="F4" s="161" t="str">
        <x:v>CRITICAL</x:v>
      </x:c>
      <x:c r="G4" s="161" t="str">
        <x:v>Human Approval Gateway</x:v>
      </x:c>
      <x:c r="H4" s="161" t="str">
        <x:v>YES</x:v>
      </x:c>
      <x:c r="I4" s="162" t="str">
        <x:v>BLOCK</x:v>
      </x:c>
    </x:row>
    <x:row r="5" ht="46" customHeight="1">
      <x:c r="A5" s="161" t="str">
        <x:v>RULE-0003</x:v>
      </x:c>
      <x:c r="B5" s="161" t="str">
        <x:v>High Impact AI Classification Enforcement</x:v>
      </x:c>
      <x:c r="C5" s="161" t="str">
        <x:v>AGAF-C-0003</x:v>
      </x:c>
      <x:c r="D5" s="161" t="str">
        <x:v>ai_service.impact_level == "HIGH"</x:v>
      </x:c>
      <x:c r="E5" s="161" t="str">
        <x:v>REVIEW</x:v>
      </x:c>
      <x:c r="F5" s="161" t="str">
        <x:v>CRITICAL</x:v>
      </x:c>
      <x:c r="G5" s="161" t="str">
        <x:v>Risk Scoring Engine</x:v>
      </x:c>
      <x:c r="H5" s="161" t="str">
        <x:v>YES</x:v>
      </x:c>
      <x:c r="I5" s="162" t="str">
        <x:v>BLOCK</x:v>
      </x:c>
    </x:row>
    <x:row r="6" ht="46" customHeight="1">
      <x:c r="A6" s="161" t="str">
        <x:v>RULE-0004</x:v>
      </x:c>
      <x:c r="B6" s="161" t="str">
        <x:v>Unique Agent Identity Registration Enforcement</x:v>
      </x:c>
      <x:c r="C6" s="161" t="str">
        <x:v>AGAF-C-0004</x:v>
      </x:c>
      <x:c r="D6" s="161" t="str">
        <x:v>control.unique_agent_identity_registration.status != "COMPLIANT"</x:v>
      </x:c>
      <x:c r="E6" s="161" t="str">
        <x:v>BLOCK</x:v>
      </x:c>
      <x:c r="F6" s="161" t="str">
        <x:v>MEDIUM</x:v>
      </x:c>
      <x:c r="G6" s="161" t="str">
        <x:v>Policy Enforcement Engine</x:v>
      </x:c>
      <x:c r="H6" s="161" t="str">
        <x:v>NO</x:v>
      </x:c>
      <x:c r="I6" s="162" t="str">
        <x:v>ESCALATE</x:v>
      </x:c>
    </x:row>
    <x:row r="7" ht="46" customHeight="1">
      <x:c r="A7" s="161" t="str">
        <x:v>RULE-0005</x:v>
      </x:c>
      <x:c r="B7" s="161" t="str">
        <x:v>Credential Lifecycle Control Enforcement</x:v>
      </x:c>
      <x:c r="C7" s="161" t="str">
        <x:v>AGAF-C-0005</x:v>
      </x:c>
      <x:c r="D7" s="161" t="str">
        <x:v>control.credential_lifecycle_control.status != "COMPLIANT"</x:v>
      </x:c>
      <x:c r="E7" s="161" t="str">
        <x:v>REVIEW</x:v>
      </x:c>
      <x:c r="F7" s="161" t="str">
        <x:v>HIGH</x:v>
      </x:c>
      <x:c r="G7" s="161" t="str">
        <x:v>Runtime Decision Controller</x:v>
      </x:c>
      <x:c r="H7" s="161" t="str">
        <x:v>YES</x:v>
      </x:c>
      <x:c r="I7" s="162" t="str">
        <x:v>BLOCK</x:v>
      </x:c>
    </x:row>
    <x:row r="8" ht="46" customHeight="1">
      <x:c r="A8" s="161" t="str">
        <x:v>RULE-0006</x:v>
      </x:c>
      <x:c r="B8" s="161" t="str">
        <x:v>Agent Ownership and Decommissioning Enforcement</x:v>
      </x:c>
      <x:c r="C8" s="161" t="str">
        <x:v>AGAF-C-0006</x:v>
      </x:c>
      <x:c r="D8" s="161" t="str">
        <x:v>control.agent_ownership_and_decommissioning.status != "COMPLIANT"</x:v>
      </x:c>
      <x:c r="E8" s="161" t="str">
        <x:v>REVIEW</x:v>
      </x:c>
      <x:c r="F8" s="161" t="str">
        <x:v>MEDIUM</x:v>
      </x:c>
      <x:c r="G8" s="161" t="str">
        <x:v>Runtime Decision Controller</x:v>
      </x:c>
      <x:c r="H8" s="161" t="str">
        <x:v>NO</x:v>
      </x:c>
      <x:c r="I8" s="162" t="str">
        <x:v>ESCALATE</x:v>
      </x:c>
    </x:row>
    <x:row r="9" ht="46" customHeight="1">
      <x:c r="A9" s="161" t="str">
        <x:v>RULE-0007</x:v>
      </x:c>
      <x:c r="B9" s="161" t="str">
        <x:v>Mutual Agent Authentication Enforcement</x:v>
      </x:c>
      <x:c r="C9" s="161" t="str">
        <x:v>AGAF-C-0007</x:v>
      </x:c>
      <x:c r="D9" s="161" t="str">
        <x:v>control.mutual_agent_authentication.status != "COMPLIANT"</x:v>
      </x:c>
      <x:c r="E9" s="161" t="str">
        <x:v>BLOCK</x:v>
      </x:c>
      <x:c r="F9" s="161" t="str">
        <x:v>MEDIUM</x:v>
      </x:c>
      <x:c r="G9" s="161" t="str">
        <x:v>Policy Enforcement Engine</x:v>
      </x:c>
      <x:c r="H9" s="161" t="str">
        <x:v>NO</x:v>
      </x:c>
      <x:c r="I9" s="162" t="str">
        <x:v>ESCALATE</x:v>
      </x:c>
    </x:row>
    <x:row r="10" ht="46" customHeight="1">
      <x:c r="A10" s="161" t="str">
        <x:v>RULE-0008</x:v>
      </x:c>
      <x:c r="B10" s="161" t="str">
        <x:v>Dynamic Trust Evaluation Enforcement</x:v>
      </x:c>
      <x:c r="C10" s="161" t="str">
        <x:v>AGAF-C-0008</x:v>
      </x:c>
      <x:c r="D10" s="161" t="str">
        <x:v>control.dynamic_trust_evaluation.status != "COMPLIANT"</x:v>
      </x:c>
      <x:c r="E10" s="161" t="str">
        <x:v>BLOCK</x:v>
      </x:c>
      <x:c r="F10" s="161" t="str">
        <x:v>MEDIUM</x:v>
      </x:c>
      <x:c r="G10" s="161" t="str">
        <x:v>Policy Enforcement Engine</x:v>
      </x:c>
      <x:c r="H10" s="161" t="str">
        <x:v>NO</x:v>
      </x:c>
      <x:c r="I10" s="162" t="str">
        <x:v>ESCALATE</x:v>
      </x:c>
    </x:row>
    <x:row r="11" ht="46" customHeight="1">
      <x:c r="A11" s="161" t="str">
        <x:v>RULE-0009</x:v>
      </x:c>
      <x:c r="B11" s="161" t="str">
        <x:v>Trust Relationship Change Control Enforcement</x:v>
      </x:c>
      <x:c r="C11" s="161" t="str">
        <x:v>AGAF-C-0009</x:v>
      </x:c>
      <x:c r="D11" s="161" t="str">
        <x:v>control.trust_relationship_change_control.status != "COMPLIANT"</x:v>
      </x:c>
      <x:c r="E11" s="161" t="str">
        <x:v>BLOCK</x:v>
      </x:c>
      <x:c r="F11" s="161" t="str">
        <x:v>MEDIUM</x:v>
      </x:c>
      <x:c r="G11" s="161" t="str">
        <x:v>Policy Enforcement Engine</x:v>
      </x:c>
      <x:c r="H11" s="161" t="str">
        <x:v>NO</x:v>
      </x:c>
      <x:c r="I11" s="162" t="str">
        <x:v>ESCALATE</x:v>
      </x:c>
    </x:row>
    <x:row r="12" ht="46" customHeight="1">
      <x:c r="A12" s="161" t="str">
        <x:v>RULE-0010</x:v>
      </x:c>
      <x:c r="B12" s="161" t="str">
        <x:v>Pre-Execution Policy Decision Enforcement</x:v>
      </x:c>
      <x:c r="C12" s="161" t="str">
        <x:v>AGAF-C-0010</x:v>
      </x:c>
      <x:c r="D12" s="161" t="str">
        <x:v>control.pre_execution_policy_decision.status != "COMPLIANT"</x:v>
      </x:c>
      <x:c r="E12" s="161" t="str">
        <x:v>ESCALATE</x:v>
      </x:c>
      <x:c r="F12" s="161" t="str">
        <x:v>MEDIUM</x:v>
      </x:c>
      <x:c r="G12" s="161" t="str">
        <x:v>Governance Reporting Engine</x:v>
      </x:c>
      <x:c r="H12" s="161" t="str">
        <x:v>NO</x:v>
      </x:c>
      <x:c r="I12" s="162" t="str">
        <x:v>ESCALATE</x:v>
      </x:c>
    </x:row>
    <x:row r="13" ht="46" customHeight="1">
      <x:c r="A13" s="161" t="str">
        <x:v>RULE-0011</x:v>
      </x:c>
      <x:c r="B13" s="161" t="str">
        <x:v>Complete Mediation and Bypass Prevention Enforcement</x:v>
      </x:c>
      <x:c r="C13" s="161" t="str">
        <x:v>AGAF-C-0011</x:v>
      </x:c>
      <x:c r="D13" s="161" t="str">
        <x:v>control.complete_mediation_and_bypass_prevention.status != "COMPLIANT"</x:v>
      </x:c>
      <x:c r="E13" s="161" t="str">
        <x:v>BLOCK</x:v>
      </x:c>
      <x:c r="F13" s="161" t="str">
        <x:v>MEDIUM</x:v>
      </x:c>
      <x:c r="G13" s="161" t="str">
        <x:v>Policy Enforcement Engine</x:v>
      </x:c>
      <x:c r="H13" s="161" t="str">
        <x:v>NO</x:v>
      </x:c>
      <x:c r="I13" s="162" t="str">
        <x:v>ESCALATE</x:v>
      </x:c>
    </x:row>
    <x:row r="14" ht="46" customHeight="1">
      <x:c r="A14" s="161" t="str">
        <x:v>RULE-0012</x:v>
      </x:c>
      <x:c r="B14" s="161" t="str">
        <x:v>Decision Trace and Policy Versioning Enforcement</x:v>
      </x:c>
      <x:c r="C14" s="161" t="str">
        <x:v>AGAF-C-0012</x:v>
      </x:c>
      <x:c r="D14" s="161" t="str">
        <x:v>control.decision_trace_and_policy_versioning.status != "COMPLIANT"</x:v>
      </x:c>
      <x:c r="E14" s="161" t="str">
        <x:v>ESCALATE</x:v>
      </x:c>
      <x:c r="F14" s="161" t="str">
        <x:v>MEDIUM</x:v>
      </x:c>
      <x:c r="G14" s="161" t="str">
        <x:v>Governance Reporting Engine</x:v>
      </x:c>
      <x:c r="H14" s="161" t="str">
        <x:v>NO</x:v>
      </x:c>
      <x:c r="I14" s="162" t="str">
        <x:v>ESCALATE</x:v>
      </x:c>
    </x:row>
    <x:row r="15" ht="46" customHeight="1">
      <x:c r="A15" s="161" t="str">
        <x:v>RULE-0013</x:v>
      </x:c>
      <x:c r="B15" s="161" t="str">
        <x:v>Financial Transaction Limits Enforcement</x:v>
      </x:c>
      <x:c r="C15" s="161" t="str">
        <x:v>AGAF-C-0013</x:v>
      </x:c>
      <x:c r="D15" s="161" t="str">
        <x:v>control.financial_transaction_limits.status != "COMPLIANT"</x:v>
      </x:c>
      <x:c r="E15" s="161" t="str">
        <x:v>BLOCK</x:v>
      </x:c>
      <x:c r="F15" s="161" t="str">
        <x:v>CRITICAL</x:v>
      </x:c>
      <x:c r="G15" s="161" t="str">
        <x:v>Policy Enforcement Engine</x:v>
      </x:c>
      <x:c r="H15" s="161" t="str">
        <x:v>NO</x:v>
      </x:c>
      <x:c r="I15" s="162" t="str">
        <x:v>BLOCK</x:v>
      </x:c>
    </x:row>
    <x:row r="16" ht="46" customHeight="1">
      <x:c r="A16" s="161" t="str">
        <x:v>RULE-0014</x:v>
      </x:c>
      <x:c r="B16" s="161" t="str">
        <x:v>Segregation of Duties for AI Transactions Enforcement</x:v>
      </x:c>
      <x:c r="C16" s="161" t="str">
        <x:v>AGAF-C-0014</x:v>
      </x:c>
      <x:c r="D16" s="161" t="str">
        <x:v>control.segregation_of_duties_for_ai_transactions.status != "COMPLIANT"</x:v>
      </x:c>
      <x:c r="E16" s="161" t="str">
        <x:v>REVIEW</x:v>
      </x:c>
      <x:c r="F16" s="161" t="str">
        <x:v>CRITICAL</x:v>
      </x:c>
      <x:c r="G16" s="161" t="str">
        <x:v>Runtime Decision Controller</x:v>
      </x:c>
      <x:c r="H16" s="161" t="str">
        <x:v>YES</x:v>
      </x:c>
      <x:c r="I16" s="162" t="str">
        <x:v>BLOCK</x:v>
      </x:c>
    </x:row>
    <x:row r="17" ht="46" customHeight="1">
      <x:c r="A17" s="161" t="str">
        <x:v>RULE-0015</x:v>
      </x:c>
      <x:c r="B17" s="161" t="str">
        <x:v>Financial Anomaly Hold and Recovery Enforcement</x:v>
      </x:c>
      <x:c r="C17" s="161" t="str">
        <x:v>AGAF-C-0015</x:v>
      </x:c>
      <x:c r="D17" s="161" t="str">
        <x:v>control.financial_anomaly_hold_and_recovery.status != "COMPLIANT"</x:v>
      </x:c>
      <x:c r="E17" s="161" t="str">
        <x:v>ESCALATE</x:v>
      </x:c>
      <x:c r="F17" s="161" t="str">
        <x:v>HIGH</x:v>
      </x:c>
      <x:c r="G17" s="161" t="str">
        <x:v>Runtime Decision Controller</x:v>
      </x:c>
      <x:c r="H17" s="161" t="str">
        <x:v>NO</x:v>
      </x:c>
      <x:c r="I17" s="162" t="str">
        <x:v>BLOCK</x:v>
      </x:c>
    </x:row>
    <x:row r="18" ht="46" customHeight="1">
      <x:c r="A18" s="161" t="str">
        <x:v>RULE-0016</x:v>
      </x:c>
      <x:c r="B18" s="161" t="str">
        <x:v>Infrastructure Change Authorization Enforcement</x:v>
      </x:c>
      <x:c r="C18" s="161" t="str">
        <x:v>AGAF-C-0016</x:v>
      </x:c>
      <x:c r="D18" s="161" t="str">
        <x:v>control.infrastructure_change_authorization.status != "COMPLIANT"</x:v>
      </x:c>
      <x:c r="E18" s="161" t="str">
        <x:v>REVIEW</x:v>
      </x:c>
      <x:c r="F18" s="161" t="str">
        <x:v>HIGH</x:v>
      </x:c>
      <x:c r="G18" s="161" t="str">
        <x:v>Runtime Decision Controller</x:v>
      </x:c>
      <x:c r="H18" s="161" t="str">
        <x:v>YES</x:v>
      </x:c>
      <x:c r="I18" s="162" t="str">
        <x:v>BLOCK</x:v>
      </x:c>
    </x:row>
    <x:row r="19" ht="46" customHeight="1">
      <x:c r="A19" s="161" t="str">
        <x:v>RULE-0017</x:v>
      </x:c>
      <x:c r="B19" s="161" t="str">
        <x:v>Environment Isolation and Blast Radius Control Enforcement</x:v>
      </x:c>
      <x:c r="C19" s="161" t="str">
        <x:v>AGAF-C-0017</x:v>
      </x:c>
      <x:c r="D19" s="161" t="str">
        <x:v>control.environment_isolation_and_blast_radius_control.status != "COMPLIANT"</x:v>
      </x:c>
      <x:c r="E19" s="161" t="str">
        <x:v>REVIEW</x:v>
      </x:c>
      <x:c r="F19" s="161" t="str">
        <x:v>MEDIUM</x:v>
      </x:c>
      <x:c r="G19" s="161" t="str">
        <x:v>Runtime Decision Controller</x:v>
      </x:c>
      <x:c r="H19" s="161" t="str">
        <x:v>NO</x:v>
      </x:c>
      <x:c r="I19" s="162" t="str">
        <x:v>ESCALATE</x:v>
      </x:c>
    </x:row>
    <x:row r="20" ht="46" customHeight="1">
      <x:c r="A20" s="161" t="str">
        <x:v>RULE-0018</x:v>
      </x:c>
      <x:c r="B20" s="161" t="str">
        <x:v>Infrastructure Rollback and Emergency Change Enforcement</x:v>
      </x:c>
      <x:c r="C20" s="161" t="str">
        <x:v>AGAF-C-0018</x:v>
      </x:c>
      <x:c r="D20" s="161" t="str">
        <x:v>control.infrastructure_rollback_and_emergency_change.status != "COMPLIANT"</x:v>
      </x:c>
      <x:c r="E20" s="161" t="str">
        <x:v>REVIEW</x:v>
      </x:c>
      <x:c r="F20" s="161" t="str">
        <x:v>HIGH</x:v>
      </x:c>
      <x:c r="G20" s="161" t="str">
        <x:v>Runtime Decision Controller</x:v>
      </x:c>
      <x:c r="H20" s="161" t="str">
        <x:v>YES</x:v>
      </x:c>
      <x:c r="I20" s="162" t="str">
        <x:v>BLOCK</x:v>
      </x:c>
    </x:row>
    <x:row r="21" ht="46" customHeight="1">
      <x:c r="A21" s="161" t="str">
        <x:v>RULE-0019</x:v>
      </x:c>
      <x:c r="B21" s="161" t="str">
        <x:v>Human Review Trigger Enforcement</x:v>
      </x:c>
      <x:c r="C21" s="161" t="str">
        <x:v>AGAF-C-0019</x:v>
      </x:c>
      <x:c r="D21" s="161" t="str">
        <x:v>control.human_review_trigger.status != "COMPLIANT"</x:v>
      </x:c>
      <x:c r="E21" s="161" t="str">
        <x:v>REVIEW</x:v>
      </x:c>
      <x:c r="F21" s="161" t="str">
        <x:v>MEDIUM</x:v>
      </x:c>
      <x:c r="G21" s="161" t="str">
        <x:v>Human Approval Gateway</x:v>
      </x:c>
      <x:c r="H21" s="161" t="str">
        <x:v>YES</x:v>
      </x:c>
      <x:c r="I21" s="162" t="str">
        <x:v>ESCALATE</x:v>
      </x:c>
    </x:row>
    <x:row r="22" ht="46" customHeight="1">
      <x:c r="A22" s="161" t="str">
        <x:v>RULE-0020</x:v>
      </x:c>
      <x:c r="B22" s="161" t="str">
        <x:v>Emergency Stop and Recovery Authority Enforcement</x:v>
      </x:c>
      <x:c r="C22" s="161" t="str">
        <x:v>AGAF-C-0020</x:v>
      </x:c>
      <x:c r="D22" s="161" t="str">
        <x:v>control.emergency_stop_and_recovery_authority.status != "COMPLIANT"</x:v>
      </x:c>
      <x:c r="E22" s="161" t="str">
        <x:v>BLOCK</x:v>
      </x:c>
      <x:c r="F22" s="161" t="str">
        <x:v>CRITICAL</x:v>
      </x:c>
      <x:c r="G22" s="161" t="str">
        <x:v>Human Approval Gateway</x:v>
      </x:c>
      <x:c r="H22" s="161" t="str">
        <x:v>YES</x:v>
      </x:c>
      <x:c r="I22" s="162" t="str">
        <x:v>BLOCK</x:v>
      </x:c>
    </x:row>
    <x:row r="23" ht="46" customHeight="1">
      <x:c r="A23" s="161" t="str">
        <x:v>RULE-0021</x:v>
      </x:c>
      <x:c r="B23" s="161" t="str">
        <x:v>Human Override Audit Trail Enforcement</x:v>
      </x:c>
      <x:c r="C23" s="161" t="str">
        <x:v>AGAF-C-0021</x:v>
      </x:c>
      <x:c r="D23" s="161" t="str">
        <x:v>control.human_override_audit_trail.status != "COMPLIANT"</x:v>
      </x:c>
      <x:c r="E23" s="161" t="str">
        <x:v>ESCALATE</x:v>
      </x:c>
      <x:c r="F23" s="161" t="str">
        <x:v>MEDIUM</x:v>
      </x:c>
      <x:c r="G23" s="161" t="str">
        <x:v>Governance Reporting Engine</x:v>
      </x:c>
      <x:c r="H23" s="161" t="str">
        <x:v>NO</x:v>
      </x:c>
      <x:c r="I23" s="162" t="str">
        <x:v>ESCALATE</x:v>
      </x:c>
    </x:row>
    <x:row r="24" ht="46" customHeight="1">
      <x:c r="A24" s="161" t="str">
        <x:v>RULE-0022</x:v>
      </x:c>
      <x:c r="B24" s="161" t="str">
        <x:v>Delegation Scope and Expiry Enforcement</x:v>
      </x:c>
      <x:c r="C24" s="161" t="str">
        <x:v>AGAF-C-0022</x:v>
      </x:c>
      <x:c r="D24" s="161" t="str">
        <x:v>control.delegation_scope_and_expiry.status != "COMPLIANT"</x:v>
      </x:c>
      <x:c r="E24" s="161" t="str">
        <x:v>REVIEW</x:v>
      </x:c>
      <x:c r="F24" s="161" t="str">
        <x:v>CRITICAL</x:v>
      </x:c>
      <x:c r="G24" s="161" t="str">
        <x:v>Runtime Decision Controller</x:v>
      </x:c>
      <x:c r="H24" s="161" t="str">
        <x:v>YES</x:v>
      </x:c>
      <x:c r="I24" s="162" t="str">
        <x:v>BLOCK</x:v>
      </x:c>
    </x:row>
    <x:row r="25" ht="46" customHeight="1">
      <x:c r="A25" s="161" t="str">
        <x:v>RULE-0023</x:v>
      </x:c>
      <x:c r="B25" s="161" t="str">
        <x:v>Delegation Chain Depth Control Enforcement</x:v>
      </x:c>
      <x:c r="C25" s="161" t="str">
        <x:v>AGAF-C-0023</x:v>
      </x:c>
      <x:c r="D25" s="161" t="str">
        <x:v>control.delegation_chain_depth_control.status != "COMPLIANT"</x:v>
      </x:c>
      <x:c r="E25" s="161" t="str">
        <x:v>REVIEW</x:v>
      </x:c>
      <x:c r="F25" s="161" t="str">
        <x:v>CRITICAL</x:v>
      </x:c>
      <x:c r="G25" s="161" t="str">
        <x:v>Runtime Decision Controller</x:v>
      </x:c>
      <x:c r="H25" s="161" t="str">
        <x:v>YES</x:v>
      </x:c>
      <x:c r="I25" s="162" t="str">
        <x:v>BLOCK</x:v>
      </x:c>
    </x:row>
    <x:row r="26" ht="46" customHeight="1">
      <x:c r="A26" s="161" t="str">
        <x:v>RULE-0024</x:v>
      </x:c>
      <x:c r="B26" s="161" t="str">
        <x:v>Sensitive Delegation Approval and Monitoring Enforcement</x:v>
      </x:c>
      <x:c r="C26" s="161" t="str">
        <x:v>AGAF-C-0024</x:v>
      </x:c>
      <x:c r="D26" s="161" t="str">
        <x:v>control.sensitive_delegation_approval_and_monitoring.status != "COMPLIANT"</x:v>
      </x:c>
      <x:c r="E26" s="161" t="str">
        <x:v>REVIEW</x:v>
      </x:c>
      <x:c r="F26" s="161" t="str">
        <x:v>CRITICAL</x:v>
      </x:c>
      <x:c r="G26" s="161" t="str">
        <x:v>Human Approval Gateway</x:v>
      </x:c>
      <x:c r="H26" s="161" t="str">
        <x:v>YES</x:v>
      </x:c>
      <x:c r="I26" s="162" t="str">
        <x:v>BLOCK</x:v>
      </x:c>
    </x:row>
    <x:row r="27" ht="46" customHeight="1">
      <x:c r="A27" s="161" t="str">
        <x:v>RULE-0025</x:v>
      </x:c>
      <x:c r="B27" s="161" t="str">
        <x:v>Risk Measurement and Classification Enforcement</x:v>
      </x:c>
      <x:c r="C27" s="161" t="str">
        <x:v>AGAF-C-0025</x:v>
      </x:c>
      <x:c r="D27" s="161" t="str">
        <x:v>control.risk_measurement_and_classification.status != "COMPLIANT"</x:v>
      </x:c>
      <x:c r="E27" s="161" t="str">
        <x:v>REVIEW</x:v>
      </x:c>
      <x:c r="F27" s="161" t="str">
        <x:v>HIGH</x:v>
      </x:c>
      <x:c r="G27" s="161" t="str">
        <x:v>Risk Scoring Engine</x:v>
      </x:c>
      <x:c r="H27" s="161" t="str">
        <x:v>YES</x:v>
      </x:c>
      <x:c r="I27" s="162" t="str">
        <x:v>BLOCK</x:v>
      </x:c>
    </x:row>
    <x:row r="28" ht="46" customHeight="1">
      <x:c r="A28" s="161" t="str">
        <x:v>RULE-0026</x:v>
      </x:c>
      <x:c r="B28" s="161" t="str">
        <x:v>Residual Risk Acceptance Enforcement</x:v>
      </x:c>
      <x:c r="C28" s="161" t="str">
        <x:v>AGAF-C-0026</x:v>
      </x:c>
      <x:c r="D28" s="161" t="str">
        <x:v>control.residual_risk_acceptance.status != "COMPLIANT"</x:v>
      </x:c>
      <x:c r="E28" s="161" t="str">
        <x:v>REVIEW</x:v>
      </x:c>
      <x:c r="F28" s="161" t="str">
        <x:v>HIGH</x:v>
      </x:c>
      <x:c r="G28" s="161" t="str">
        <x:v>Runtime Decision Controller</x:v>
      </x:c>
      <x:c r="H28" s="161" t="str">
        <x:v>YES</x:v>
      </x:c>
      <x:c r="I28" s="162" t="str">
        <x:v>BLOCK</x:v>
      </x:c>
    </x:row>
    <x:row r="29" ht="46" customHeight="1">
      <x:c r="A29" s="161" t="str">
        <x:v>RULE-0027</x:v>
      </x:c>
      <x:c r="B29" s="161" t="str">
        <x:v>Risk Treatment and Continuous Monitoring Enforcement</x:v>
      </x:c>
      <x:c r="C29" s="161" t="str">
        <x:v>AGAF-C-0027</x:v>
      </x:c>
      <x:c r="D29" s="161" t="str">
        <x:v>control.risk_treatment_and_continuous_monitoring.status != "COMPLIANT"</x:v>
      </x:c>
      <x:c r="E29" s="161" t="str">
        <x:v>ESCALATE</x:v>
      </x:c>
      <x:c r="F29" s="161" t="str">
        <x:v>HIGH</x:v>
      </x:c>
      <x:c r="G29" s="161" t="str">
        <x:v>Runtime Decision Controller</x:v>
      </x:c>
      <x:c r="H29" s="161" t="str">
        <x:v>NO</x:v>
      </x:c>
      <x:c r="I29" s="162" t="str">
        <x:v>BLOCK</x:v>
      </x:c>
    </x:row>
    <x:row r="30" ht="46" customHeight="1">
      <x:c r="A30" s="161" t="str">
        <x:v>RULE-0028</x:v>
      </x:c>
      <x:c r="B30" s="161" t="str">
        <x:v>Tool Allowlist and Registration Enforcement</x:v>
      </x:c>
      <x:c r="C30" s="161" t="str">
        <x:v>AGAF-C-0028</x:v>
      </x:c>
      <x:c r="D30" s="161" t="str">
        <x:v>control.tool_allowlist_and_registration.status != "COMPLIANT"</x:v>
      </x:c>
      <x:c r="E30" s="161" t="str">
        <x:v>BLOCK</x:v>
      </x:c>
      <x:c r="F30" s="161" t="str">
        <x:v>MEDIUM</x:v>
      </x:c>
      <x:c r="G30" s="161" t="str">
        <x:v>Policy Enforcement Engine</x:v>
      </x:c>
      <x:c r="H30" s="161" t="str">
        <x:v>NO</x:v>
      </x:c>
      <x:c r="I30" s="162" t="str">
        <x:v>ESCALATE</x:v>
      </x:c>
    </x:row>
    <x:row r="31" ht="46" customHeight="1">
      <x:c r="A31" s="161" t="str">
        <x:v>RULE-0029</x:v>
      </x:c>
      <x:c r="B31" s="161" t="str">
        <x:v>Tool Permission and Sandbox Enforcement</x:v>
      </x:c>
      <x:c r="C31" s="161" t="str">
        <x:v>AGAF-C-0029</x:v>
      </x:c>
      <x:c r="D31" s="161" t="str">
        <x:v>control.tool_permission_and_sandbox.status != "COMPLIANT"</x:v>
      </x:c>
      <x:c r="E31" s="161" t="str">
        <x:v>REVIEW</x:v>
      </x:c>
      <x:c r="F31" s="161" t="str">
        <x:v>MEDIUM</x:v>
      </x:c>
      <x:c r="G31" s="161" t="str">
        <x:v>Runtime Decision Controller</x:v>
      </x:c>
      <x:c r="H31" s="161" t="str">
        <x:v>NO</x:v>
      </x:c>
      <x:c r="I31" s="162" t="str">
        <x:v>ESCALATE</x:v>
      </x:c>
    </x:row>
    <x:row r="32" ht="46" customHeight="1">
      <x:c r="A32" s="161" t="str">
        <x:v>RULE-0030</x:v>
      </x:c>
      <x:c r="B32" s="161" t="str">
        <x:v>Tool Invocation Monitoring Enforcement</x:v>
      </x:c>
      <x:c r="C32" s="161" t="str">
        <x:v>AGAF-C-0030</x:v>
      </x:c>
      <x:c r="D32" s="161" t="str">
        <x:v>control.tool_invocation_monitoring.status != "COMPLIANT"</x:v>
      </x:c>
      <x:c r="E32" s="161" t="str">
        <x:v>ESCALATE</x:v>
      </x:c>
      <x:c r="F32" s="161" t="str">
        <x:v>MEDIUM</x:v>
      </x:c>
      <x:c r="G32" s="161" t="str">
        <x:v>Runtime Decision Controller</x:v>
      </x:c>
      <x:c r="H32" s="161" t="str">
        <x:v>NO</x:v>
      </x:c>
      <x:c r="I32" s="162" t="str">
        <x:v>ESCALATE</x:v>
      </x:c>
    </x:row>
    <x:row r="33" ht="46" customHeight="1">
      <x:c r="A33" s="161" t="str">
        <x:v>RULE-0031</x:v>
      </x:c>
      <x:c r="B33" s="161" t="str">
        <x:v>External API Allowlist and Authentication Enforcement</x:v>
      </x:c>
      <x:c r="C33" s="161" t="str">
        <x:v>AGAF-C-0031</x:v>
      </x:c>
      <x:c r="D33" s="161" t="str">
        <x:v>control.external_api_allowlist_and_authentication.status != "COMPLIANT"</x:v>
      </x:c>
      <x:c r="E33" s="161" t="str">
        <x:v>BLOCK</x:v>
      </x:c>
      <x:c r="F33" s="161" t="str">
        <x:v>MEDIUM</x:v>
      </x:c>
      <x:c r="G33" s="161" t="str">
        <x:v>Policy Enforcement Engine</x:v>
      </x:c>
      <x:c r="H33" s="161" t="str">
        <x:v>NO</x:v>
      </x:c>
      <x:c r="I33" s="162" t="str">
        <x:v>ESCALATE</x:v>
      </x:c>
    </x:row>
    <x:row r="34" ht="46" customHeight="1">
      <x:c r="A34" s="161" t="str">
        <x:v>RULE-0032</x:v>
      </x:c>
      <x:c r="B34" s="161" t="str">
        <x:v>API Rate Limit and Data Boundary Enforcement</x:v>
      </x:c>
      <x:c r="C34" s="161" t="str">
        <x:v>AGAF-C-0032</x:v>
      </x:c>
      <x:c r="D34" s="161" t="str">
        <x:v>control.api_rate_limit_and_data_boundary.status != "COMPLIANT"</x:v>
      </x:c>
      <x:c r="E34" s="161" t="str">
        <x:v>BLOCK</x:v>
      </x:c>
      <x:c r="F34" s="161" t="str">
        <x:v>MEDIUM</x:v>
      </x:c>
      <x:c r="G34" s="161" t="str">
        <x:v>Policy Enforcement Engine</x:v>
      </x:c>
      <x:c r="H34" s="161" t="str">
        <x:v>NO</x:v>
      </x:c>
      <x:c r="I34" s="162" t="str">
        <x:v>ESCALATE</x:v>
      </x:c>
    </x:row>
    <x:row r="35" ht="46" customHeight="1">
      <x:c r="A35" s="161" t="str">
        <x:v>RULE-0033</x:v>
      </x:c>
      <x:c r="B35" s="161" t="str">
        <x:v>External API Failure and Vendor Escalation Enforcement</x:v>
      </x:c>
      <x:c r="C35" s="161" t="str">
        <x:v>AGAF-C-0033</x:v>
      </x:c>
      <x:c r="D35" s="161" t="str">
        <x:v>control.external_api_failure_and_vendor_escalation.status != "COMPLIANT"</x:v>
      </x:c>
      <x:c r="E35" s="161" t="str">
        <x:v>ESCALATE</x:v>
      </x:c>
      <x:c r="F35" s="161" t="str">
        <x:v>MEDIUM</x:v>
      </x:c>
      <x:c r="G35" s="161" t="str">
        <x:v>Escalation Engine</x:v>
      </x:c>
      <x:c r="H35" s="161" t="str">
        <x:v>NO</x:v>
      </x:c>
      <x:c r="I35" s="162" t="str">
        <x:v>ESCALATE</x:v>
      </x:c>
    </x:row>
    <x:row r="36" ht="46" customHeight="1">
      <x:c r="A36" s="161" t="str">
        <x:v>RULE-0034</x:v>
      </x:c>
      <x:c r="B36" s="161" t="str">
        <x:v>Data Access Purpose Binding Enforcement</x:v>
      </x:c>
      <x:c r="C36" s="161" t="str">
        <x:v>AGAF-C-0034</x:v>
      </x:c>
      <x:c r="D36" s="161" t="str">
        <x:v>control.data_access_purpose_binding.status != "COMPLIANT"</x:v>
      </x:c>
      <x:c r="E36" s="161" t="str">
        <x:v>REVIEW</x:v>
      </x:c>
      <x:c r="F36" s="161" t="str">
        <x:v>HIGH</x:v>
      </x:c>
      <x:c r="G36" s="161" t="str">
        <x:v>Runtime Decision Controller</x:v>
      </x:c>
      <x:c r="H36" s="161" t="str">
        <x:v>YES</x:v>
      </x:c>
      <x:c r="I36" s="162" t="str">
        <x:v>BLOCK</x:v>
      </x:c>
    </x:row>
    <x:row r="37" ht="46" customHeight="1">
      <x:c r="A37" s="161" t="str">
        <x:v>RULE-0035</x:v>
      </x:c>
      <x:c r="B37" s="161" t="str">
        <x:v>Sensitive Data Least Privilege Enforcement</x:v>
      </x:c>
      <x:c r="C37" s="161" t="str">
        <x:v>AGAF-C-0035</x:v>
      </x:c>
      <x:c r="D37" s="161" t="str">
        <x:v>control.sensitive_data_least_privilege.status != "COMPLIANT"</x:v>
      </x:c>
      <x:c r="E37" s="161" t="str">
        <x:v>BLOCK</x:v>
      </x:c>
      <x:c r="F37" s="161" t="str">
        <x:v>MEDIUM</x:v>
      </x:c>
      <x:c r="G37" s="161" t="str">
        <x:v>Policy Enforcement Engine</x:v>
      </x:c>
      <x:c r="H37" s="161" t="str">
        <x:v>NO</x:v>
      </x:c>
      <x:c r="I37" s="162" t="str">
        <x:v>ESCALATE</x:v>
      </x:c>
    </x:row>
    <x:row r="38" ht="46" customHeight="1">
      <x:c r="A38" s="161" t="str">
        <x:v>RULE-0036</x:v>
      </x:c>
      <x:c r="B38" s="161" t="str">
        <x:v>Data Access Review and Revocation Enforcement</x:v>
      </x:c>
      <x:c r="C38" s="161" t="str">
        <x:v>AGAF-C-0036</x:v>
      </x:c>
      <x:c r="D38" s="161" t="str">
        <x:v>control.data_access_review_and_revocation.status != "COMPLIANT"</x:v>
      </x:c>
      <x:c r="E38" s="161" t="str">
        <x:v>REVIEW</x:v>
      </x:c>
      <x:c r="F38" s="161" t="str">
        <x:v>HIGH</x:v>
      </x:c>
      <x:c r="G38" s="161" t="str">
        <x:v>Risk Scoring Engine</x:v>
      </x:c>
      <x:c r="H38" s="161" t="str">
        <x:v>YES</x:v>
      </x:c>
      <x:c r="I38" s="162" t="str">
        <x:v>BLOCK</x:v>
      </x:c>
    </x:row>
    <x:row r="39" ht="46" customHeight="1">
      <x:c r="A39" s="161" t="str">
        <x:v>RULE-0037</x:v>
      </x:c>
      <x:c r="B39" s="161" t="str">
        <x:v>Sensitive Data Leakage Detection Enforcement</x:v>
      </x:c>
      <x:c r="C39" s="161" t="str">
        <x:v>AGAF-C-0037</x:v>
      </x:c>
      <x:c r="D39" s="161" t="str">
        <x:v>control.sensitive_data_leakage_detection.status != "COMPLIANT"</x:v>
      </x:c>
      <x:c r="E39" s="161" t="str">
        <x:v>ESCALATE</x:v>
      </x:c>
      <x:c r="F39" s="161" t="str">
        <x:v>HIGH</x:v>
      </x:c>
      <x:c r="G39" s="161" t="str">
        <x:v>Runtime Decision Controller</x:v>
      </x:c>
      <x:c r="H39" s="161" t="str">
        <x:v>NO</x:v>
      </x:c>
      <x:c r="I39" s="162" t="str">
        <x:v>BLOCK</x:v>
      </x:c>
    </x:row>
    <x:row r="40" ht="46" customHeight="1">
      <x:c r="A40" s="161" t="str">
        <x:v>RULE-0038</x:v>
      </x:c>
      <x:c r="B40" s="161" t="str">
        <x:v>Output Redaction and Blocking Enforcement</x:v>
      </x:c>
      <x:c r="C40" s="161" t="str">
        <x:v>AGAF-C-0038</x:v>
      </x:c>
      <x:c r="D40" s="161" t="str">
        <x:v>control.output_redaction_and_blocking.status != "COMPLIANT"</x:v>
      </x:c>
      <x:c r="E40" s="161" t="str">
        <x:v>BLOCK</x:v>
      </x:c>
      <x:c r="F40" s="161" t="str">
        <x:v>MEDIUM</x:v>
      </x:c>
      <x:c r="G40" s="161" t="str">
        <x:v>Policy Enforcement Engine</x:v>
      </x:c>
      <x:c r="H40" s="161" t="str">
        <x:v>NO</x:v>
      </x:c>
      <x:c r="I40" s="162" t="str">
        <x:v>ESCALATE</x:v>
      </x:c>
    </x:row>
    <x:row r="41" ht="46" customHeight="1">
      <x:c r="A41" s="161" t="str">
        <x:v>RULE-0039</x:v>
      </x:c>
      <x:c r="B41" s="161" t="str">
        <x:v>Leakage Incident Quarantine Enforcement</x:v>
      </x:c>
      <x:c r="C41" s="161" t="str">
        <x:v>AGAF-C-0039</x:v>
      </x:c>
      <x:c r="D41" s="161" t="str">
        <x:v>control.leakage_incident_quarantine.status != "COMPLIANT"</x:v>
      </x:c>
      <x:c r="E41" s="161" t="str">
        <x:v>QUARANTINE</x:v>
      </x:c>
      <x:c r="F41" s="161" t="str">
        <x:v>HIGH</x:v>
      </x:c>
      <x:c r="G41" s="161" t="str">
        <x:v>Runtime Decision Controller</x:v>
      </x:c>
      <x:c r="H41" s="161" t="str">
        <x:v>NO</x:v>
      </x:c>
      <x:c r="I41" s="162" t="str">
        <x:v>QUARANTINE</x:v>
      </x:c>
    </x:row>
    <x:row r="42" ht="46" customHeight="1">
      <x:c r="A42" s="161" t="str">
        <x:v>RULE-0040</x:v>
      </x:c>
      <x:c r="B42" s="161" t="str">
        <x:v>Privacy Legal Basis and Purpose Enforcement</x:v>
      </x:c>
      <x:c r="C42" s="161" t="str">
        <x:v>AGAF-C-0040</x:v>
      </x:c>
      <x:c r="D42" s="161" t="str">
        <x:v>control.privacy_legal_basis_and_purpose.status != "COMPLIANT"</x:v>
      </x:c>
      <x:c r="E42" s="161" t="str">
        <x:v>ESCALATE</x:v>
      </x:c>
      <x:c r="F42" s="161" t="str">
        <x:v>HIGH</x:v>
      </x:c>
      <x:c r="G42" s="161" t="str">
        <x:v>Governance Reporting Engine</x:v>
      </x:c>
      <x:c r="H42" s="161" t="str">
        <x:v>NO</x:v>
      </x:c>
      <x:c r="I42" s="162" t="str">
        <x:v>BLOCK</x:v>
      </x:c>
    </x:row>
    <x:row r="43" ht="46" customHeight="1">
      <x:c r="A43" s="161" t="str">
        <x:v>RULE-0041</x:v>
      </x:c>
      <x:c r="B43" s="161" t="str">
        <x:v>Data Minimization and Retention Enforcement</x:v>
      </x:c>
      <x:c r="C43" s="161" t="str">
        <x:v>AGAF-C-0041</x:v>
      </x:c>
      <x:c r="D43" s="161" t="str">
        <x:v>control.data_minimization_and_retention.status != "COMPLIANT"</x:v>
      </x:c>
      <x:c r="E43" s="161" t="str">
        <x:v>ESCALATE</x:v>
      </x:c>
      <x:c r="F43" s="161" t="str">
        <x:v>MEDIUM</x:v>
      </x:c>
      <x:c r="G43" s="161" t="str">
        <x:v>Governance Reporting Engine</x:v>
      </x:c>
      <x:c r="H43" s="161" t="str">
        <x:v>NO</x:v>
      </x:c>
      <x:c r="I43" s="162" t="str">
        <x:v>ESCALATE</x:v>
      </x:c>
    </x:row>
    <x:row r="44" ht="46" customHeight="1">
      <x:c r="A44" s="161" t="str">
        <x:v>RULE-0042</x:v>
      </x:c>
      <x:c r="B44" s="161" t="str">
        <x:v>Data Subject Rights and Privacy Impact Enforcement</x:v>
      </x:c>
      <x:c r="C44" s="161" t="str">
        <x:v>AGAF-C-0042</x:v>
      </x:c>
      <x:c r="D44" s="161" t="str">
        <x:v>control.data_subject_rights_and_privacy_impact.status != "COMPLIANT"</x:v>
      </x:c>
      <x:c r="E44" s="161" t="str">
        <x:v>REVIEW</x:v>
      </x:c>
      <x:c r="F44" s="161" t="str">
        <x:v>HIGH</x:v>
      </x:c>
      <x:c r="G44" s="161" t="str">
        <x:v>Risk Scoring Engine</x:v>
      </x:c>
      <x:c r="H44" s="161" t="str">
        <x:v>YES</x:v>
      </x:c>
      <x:c r="I44" s="162" t="str">
        <x:v>BLOCK</x:v>
      </x:c>
    </x:row>
    <x:row r="45" ht="46" customHeight="1">
      <x:c r="A45" s="161" t="str">
        <x:v>RULE-0043</x:v>
      </x:c>
      <x:c r="B45" s="161" t="str">
        <x:v>Knowledge Source Approval Enforcement</x:v>
      </x:c>
      <x:c r="C45" s="161" t="str">
        <x:v>AGAF-C-0043</x:v>
      </x:c>
      <x:c r="D45" s="161" t="str">
        <x:v>control.knowledge_source_approval.status != "COMPLIANT"</x:v>
      </x:c>
      <x:c r="E45" s="161" t="str">
        <x:v>REVIEW</x:v>
      </x:c>
      <x:c r="F45" s="161" t="str">
        <x:v>LOW</x:v>
      </x:c>
      <x:c r="G45" s="161" t="str">
        <x:v>Human Approval Gateway</x:v>
      </x:c>
      <x:c r="H45" s="161" t="str">
        <x:v>YES</x:v>
      </x:c>
      <x:c r="I45" s="162" t="str">
        <x:v>REVIEW</x:v>
      </x:c>
    </x:row>
    <x:row r="46" ht="46" customHeight="1">
      <x:c r="A46" s="161" t="str">
        <x:v>RULE-0044</x:v>
      </x:c>
      <x:c r="B46" s="161" t="str">
        <x:v>Source Provenance and Freshness Enforcement</x:v>
      </x:c>
      <x:c r="C46" s="161" t="str">
        <x:v>AGAF-C-0044</x:v>
      </x:c>
      <x:c r="D46" s="161" t="str">
        <x:v>control.source_provenance_and_freshness.status != "COMPLIANT"</x:v>
      </x:c>
      <x:c r="E46" s="161" t="str">
        <x:v>REVIEW</x:v>
      </x:c>
      <x:c r="F46" s="161" t="str">
        <x:v>LOW</x:v>
      </x:c>
      <x:c r="G46" s="161" t="str">
        <x:v>Runtime Decision Controller</x:v>
      </x:c>
      <x:c r="H46" s="161" t="str">
        <x:v>NO</x:v>
      </x:c>
      <x:c r="I46" s="162" t="str">
        <x:v>REVIEW</x:v>
      </x:c>
    </x:row>
    <x:row r="47" ht="46" customHeight="1">
      <x:c r="A47" s="161" t="str">
        <x:v>RULE-0045</x:v>
      </x:c>
      <x:c r="B47" s="161" t="str">
        <x:v>Retrieval Citation and Conflict Handling Enforcement</x:v>
      </x:c>
      <x:c r="C47" s="161" t="str">
        <x:v>AGAF-C-0045</x:v>
      </x:c>
      <x:c r="D47" s="161" t="str">
        <x:v>control.retrieval_citation_and_conflict_handling.status != "COMPLIANT"</x:v>
      </x:c>
      <x:c r="E47" s="161" t="str">
        <x:v>REVIEW</x:v>
      </x:c>
      <x:c r="F47" s="161" t="str">
        <x:v>MEDIUM</x:v>
      </x:c>
      <x:c r="G47" s="161" t="str">
        <x:v>Runtime Decision Controller</x:v>
      </x:c>
      <x:c r="H47" s="161" t="str">
        <x:v>NO</x:v>
      </x:c>
      <x:c r="I47" s="162" t="str">
        <x:v>ESCALATE</x:v>
      </x:c>
    </x:row>
    <x:row r="48" ht="46" customHeight="1">
      <x:c r="A48" s="161" t="str">
        <x:v>RULE-0046</x:v>
      </x:c>
      <x:c r="B48" s="161" t="str">
        <x:v>Hallucination Evaluation Threshold Enforcement</x:v>
      </x:c>
      <x:c r="C48" s="161" t="str">
        <x:v>AGAF-C-0046</x:v>
      </x:c>
      <x:c r="D48" s="161" t="str">
        <x:v>control.hallucination_evaluation_threshold.status != "COMPLIANT"</x:v>
      </x:c>
      <x:c r="E48" s="161" t="str">
        <x:v>REVIEW</x:v>
      </x:c>
      <x:c r="F48" s="161" t="str">
        <x:v>MEDIUM</x:v>
      </x:c>
      <x:c r="G48" s="161" t="str">
        <x:v>Runtime Decision Controller</x:v>
      </x:c>
      <x:c r="H48" s="161" t="str">
        <x:v>NO</x:v>
      </x:c>
      <x:c r="I48" s="162" t="str">
        <x:v>ESCALATE</x:v>
      </x:c>
    </x:row>
    <x:row r="49" ht="46" customHeight="1">
      <x:c r="A49" s="161" t="str">
        <x:v>RULE-0047</x:v>
      </x:c>
      <x:c r="B49" s="161" t="str">
        <x:v>Grounded Response Verification Enforcement</x:v>
      </x:c>
      <x:c r="C49" s="161" t="str">
        <x:v>AGAF-C-0047</x:v>
      </x:c>
      <x:c r="D49" s="161" t="str">
        <x:v>control.grounded_response_verification.status != "COMPLIANT"</x:v>
      </x:c>
      <x:c r="E49" s="161" t="str">
        <x:v>REVIEW</x:v>
      </x:c>
      <x:c r="F49" s="161" t="str">
        <x:v>MEDIUM</x:v>
      </x:c>
      <x:c r="G49" s="161" t="str">
        <x:v>Runtime Decision Controller</x:v>
      </x:c>
      <x:c r="H49" s="161" t="str">
        <x:v>NO</x:v>
      </x:c>
      <x:c r="I49" s="162" t="str">
        <x:v>ESCALATE</x:v>
      </x:c>
    </x:row>
    <x:row r="50" ht="46" customHeight="1">
      <x:c r="A50" s="161" t="str">
        <x:v>RULE-0048</x:v>
      </x:c>
      <x:c r="B50" s="161" t="str">
        <x:v>Low Confidence Review and Blocking Enforcement</x:v>
      </x:c>
      <x:c r="C50" s="161" t="str">
        <x:v>AGAF-C-0048</x:v>
      </x:c>
      <x:c r="D50" s="161" t="str">
        <x:v>control.low_confidence_review_and_blocking.status != "COMPLIANT"</x:v>
      </x:c>
      <x:c r="E50" s="161" t="str">
        <x:v>BLOCK</x:v>
      </x:c>
      <x:c r="F50" s="161" t="str">
        <x:v>MEDIUM</x:v>
      </x:c>
      <x:c r="G50" s="161" t="str">
        <x:v>Policy Enforcement Engine</x:v>
      </x:c>
      <x:c r="H50" s="161" t="str">
        <x:v>NO</x:v>
      </x:c>
      <x:c r="I50" s="162" t="str">
        <x:v>ESCALATE</x:v>
      </x:c>
    </x:row>
    <x:row r="51" ht="46" customHeight="1">
      <x:c r="A51" s="161" t="str">
        <x:v>RULE-0049</x:v>
      </x:c>
      <x:c r="B51" s="161" t="str">
        <x:v>Prompt Injection Detection Enforcement</x:v>
      </x:c>
      <x:c r="C51" s="161" t="str">
        <x:v>AGAF-C-0049</x:v>
      </x:c>
      <x:c r="D51" s="161" t="str">
        <x:v>control.prompt_injection_detection.status != "COMPLIANT"</x:v>
      </x:c>
      <x:c r="E51" s="161" t="str">
        <x:v>ESCALATE</x:v>
      </x:c>
      <x:c r="F51" s="161" t="str">
        <x:v>HIGH</x:v>
      </x:c>
      <x:c r="G51" s="161" t="str">
        <x:v>Runtime Decision Controller</x:v>
      </x:c>
      <x:c r="H51" s="161" t="str">
        <x:v>NO</x:v>
      </x:c>
      <x:c r="I51" s="162" t="str">
        <x:v>BLOCK</x:v>
      </x:c>
    </x:row>
    <x:row r="52" ht="46" customHeight="1">
      <x:c r="A52" s="161" t="str">
        <x:v>RULE-0050</x:v>
      </x:c>
      <x:c r="B52" s="161" t="str">
        <x:v>System Prompt and Secret Protection Enforcement</x:v>
      </x:c>
      <x:c r="C52" s="161" t="str">
        <x:v>AGAF-C-0050</x:v>
      </x:c>
      <x:c r="D52" s="161" t="str">
        <x:v>control.system_prompt_and_secret_protection.status != "COMPLIANT"</x:v>
      </x:c>
      <x:c r="E52" s="161" t="str">
        <x:v>BLOCK</x:v>
      </x:c>
      <x:c r="F52" s="161" t="str">
        <x:v>HIGH</x:v>
      </x:c>
      <x:c r="G52" s="161" t="str">
        <x:v>Policy Enforcement Engine</x:v>
      </x:c>
      <x:c r="H52" s="161" t="str">
        <x:v>NO</x:v>
      </x:c>
      <x:c r="I52" s="162" t="str">
        <x:v>BLOCK</x:v>
      </x:c>
    </x:row>
    <x:row r="53" ht="46" customHeight="1">
      <x:c r="A53" s="161" t="str">
        <x:v>RULE-0051</x:v>
      </x:c>
      <x:c r="B53" s="161" t="str">
        <x:v>Adversarial Prompt Response Enforcement</x:v>
      </x:c>
      <x:c r="C53" s="161" t="str">
        <x:v>AGAF-C-0051</x:v>
      </x:c>
      <x:c r="D53" s="161" t="str">
        <x:v>control.adversarial_prompt_response.status != "COMPLIANT"</x:v>
      </x:c>
      <x:c r="E53" s="161" t="str">
        <x:v>REVIEW</x:v>
      </x:c>
      <x:c r="F53" s="161" t="str">
        <x:v>HIGH</x:v>
      </x:c>
      <x:c r="G53" s="161" t="str">
        <x:v>Runtime Decision Controller</x:v>
      </x:c>
      <x:c r="H53" s="161" t="str">
        <x:v>YES</x:v>
      </x:c>
      <x:c r="I53" s="162" t="str">
        <x:v>BLOCK</x:v>
      </x:c>
    </x:row>
    <x:row r="54" ht="46" customHeight="1">
      <x:c r="A54" s="161" t="str">
        <x:v>RULE-0052</x:v>
      </x:c>
      <x:c r="B54" s="161" t="str">
        <x:v>Approved Model Registry Enforcement</x:v>
      </x:c>
      <x:c r="C54" s="161" t="str">
        <x:v>AGAF-C-0052</x:v>
      </x:c>
      <x:c r="D54" s="161" t="str">
        <x:v>control.approved_model_registry.status != "COMPLIANT"</x:v>
      </x:c>
      <x:c r="E54" s="161" t="str">
        <x:v>ESCALATE</x:v>
      </x:c>
      <x:c r="F54" s="161" t="str">
        <x:v>HIGH</x:v>
      </x:c>
      <x:c r="G54" s="161" t="str">
        <x:v>Runtime Decision Controller</x:v>
      </x:c>
      <x:c r="H54" s="161" t="str">
        <x:v>NO</x:v>
      </x:c>
      <x:c r="I54" s="162" t="str">
        <x:v>BLOCK</x:v>
      </x:c>
    </x:row>
    <x:row r="55" ht="46" customHeight="1">
      <x:c r="A55" s="161" t="str">
        <x:v>RULE-0053</x:v>
      </x:c>
      <x:c r="B55" s="161" t="str">
        <x:v>Model Change and Fine-Tuning Approval Enforcement</x:v>
      </x:c>
      <x:c r="C55" s="161" t="str">
        <x:v>AGAF-C-0053</x:v>
      </x:c>
      <x:c r="D55" s="161" t="str">
        <x:v>control.model_change_and_fine_tuning_approval.status != "COMPLIANT"</x:v>
      </x:c>
      <x:c r="E55" s="161" t="str">
        <x:v>REVIEW</x:v>
      </x:c>
      <x:c r="F55" s="161" t="str">
        <x:v>HIGH</x:v>
      </x:c>
      <x:c r="G55" s="161" t="str">
        <x:v>Human Approval Gateway</x:v>
      </x:c>
      <x:c r="H55" s="161" t="str">
        <x:v>YES</x:v>
      </x:c>
      <x:c r="I55" s="162" t="str">
        <x:v>BLOCK</x:v>
      </x:c>
    </x:row>
    <x:row r="56" ht="46" customHeight="1">
      <x:c r="A56" s="161" t="str">
        <x:v>RULE-0054</x:v>
      </x:c>
      <x:c r="B56" s="161" t="str">
        <x:v>Model Retirement and Shadow Model Detection Enforcement</x:v>
      </x:c>
      <x:c r="C56" s="161" t="str">
        <x:v>AGAF-C-0054</x:v>
      </x:c>
      <x:c r="D56" s="161" t="str">
        <x:v>control.model_retirement_and_shadow_model_detection.status != "COMPLIANT"</x:v>
      </x:c>
      <x:c r="E56" s="161" t="str">
        <x:v>ESCALATE</x:v>
      </x:c>
      <x:c r="F56" s="161" t="str">
        <x:v>HIGH</x:v>
      </x:c>
      <x:c r="G56" s="161" t="str">
        <x:v>Runtime Decision Controller</x:v>
      </x:c>
      <x:c r="H56" s="161" t="str">
        <x:v>NO</x:v>
      </x:c>
      <x:c r="I56" s="162" t="str">
        <x:v>BLOCK</x:v>
      </x:c>
    </x:row>
    <x:row r="57" ht="46" customHeight="1">
      <x:c r="A57" s="161" t="str">
        <x:v>RULE-0055</x:v>
      </x:c>
      <x:c r="B57" s="161" t="str">
        <x:v>AI Supply Chain Inventory Enforcement</x:v>
      </x:c>
      <x:c r="C57" s="161" t="str">
        <x:v>AGAF-C-0055</x:v>
      </x:c>
      <x:c r="D57" s="161" t="str">
        <x:v>control.ai_supply_chain_inventory.status != "COMPLIANT"</x:v>
      </x:c>
      <x:c r="E57" s="161" t="str">
        <x:v>ESCALATE</x:v>
      </x:c>
      <x:c r="F57" s="161" t="str">
        <x:v>MEDIUM</x:v>
      </x:c>
      <x:c r="G57" s="161" t="str">
        <x:v>Runtime Decision Controller</x:v>
      </x:c>
      <x:c r="H57" s="161" t="str">
        <x:v>NO</x:v>
      </x:c>
      <x:c r="I57" s="162" t="str">
        <x:v>ESCALATE</x:v>
      </x:c>
    </x:row>
    <x:row r="58" ht="46" customHeight="1">
      <x:c r="A58" s="161" t="str">
        <x:v>RULE-0056</x:v>
      </x:c>
      <x:c r="B58" s="161" t="str">
        <x:v>Component Integrity and Vulnerability Enforcement</x:v>
      </x:c>
      <x:c r="C58" s="161" t="str">
        <x:v>AGAF-C-0056</x:v>
      </x:c>
      <x:c r="D58" s="161" t="str">
        <x:v>control.component_integrity_and_vulnerability.status != "COMPLIANT"</x:v>
      </x:c>
      <x:c r="E58" s="161" t="str">
        <x:v>REVIEW</x:v>
      </x:c>
      <x:c r="F58" s="161" t="str">
        <x:v>MEDIUM</x:v>
      </x:c>
      <x:c r="G58" s="161" t="str">
        <x:v>Runtime Decision Controller</x:v>
      </x:c>
      <x:c r="H58" s="161" t="str">
        <x:v>NO</x:v>
      </x:c>
      <x:c r="I58" s="162" t="str">
        <x:v>ESCALATE</x:v>
      </x:c>
    </x:row>
    <x:row r="59" ht="46" customHeight="1">
      <x:c r="A59" s="161" t="str">
        <x:v>RULE-0057</x:v>
      </x:c>
      <x:c r="B59" s="161" t="str">
        <x:v>Supplier Continuity and Incident Obligation Enforcement</x:v>
      </x:c>
      <x:c r="C59" s="161" t="str">
        <x:v>AGAF-C-0057</x:v>
      </x:c>
      <x:c r="D59" s="161" t="str">
        <x:v>control.supplier_continuity_and_incident_obligation.status != "COMPLIANT"</x:v>
      </x:c>
      <x:c r="E59" s="161" t="str">
        <x:v>ESCALATE</x:v>
      </x:c>
      <x:c r="F59" s="161" t="str">
        <x:v>HIGH</x:v>
      </x:c>
      <x:c r="G59" s="161" t="str">
        <x:v>Escalation Engine</x:v>
      </x:c>
      <x:c r="H59" s="161" t="str">
        <x:v>NO</x:v>
      </x:c>
      <x:c r="I59" s="162" t="str">
        <x:v>BLOCK</x:v>
      </x:c>
    </x:row>
    <x:row r="60" ht="46" customHeight="1">
      <x:c r="A60" s="161" t="str">
        <x:v>RULE-0058</x:v>
      </x:c>
      <x:c r="B60" s="161" t="str">
        <x:v>Third-Party Agent Due Diligence Enforcement</x:v>
      </x:c>
      <x:c r="C60" s="161" t="str">
        <x:v>AGAF-C-0058</x:v>
      </x:c>
      <x:c r="D60" s="161" t="str">
        <x:v>control.third_party_agent_due_diligence.status != "COMPLIANT"</x:v>
      </x:c>
      <x:c r="E60" s="161" t="str">
        <x:v>ESCALATE</x:v>
      </x:c>
      <x:c r="F60" s="161" t="str">
        <x:v>MEDIUM</x:v>
      </x:c>
      <x:c r="G60" s="161" t="str">
        <x:v>Governance Reporting Engine</x:v>
      </x:c>
      <x:c r="H60" s="161" t="str">
        <x:v>NO</x:v>
      </x:c>
      <x:c r="I60" s="162" t="str">
        <x:v>ESCALATE</x:v>
      </x:c>
    </x:row>
    <x:row r="61" ht="46" customHeight="1">
      <x:c r="A61" s="161" t="str">
        <x:v>RULE-0059</x:v>
      </x:c>
      <x:c r="B61" s="161" t="str">
        <x:v>External Agent Access Boundary Enforcement</x:v>
      </x:c>
      <x:c r="C61" s="161" t="str">
        <x:v>AGAF-C-0059</x:v>
      </x:c>
      <x:c r="D61" s="161" t="str">
        <x:v>control.external_agent_access_boundary.status != "COMPLIANT"</x:v>
      </x:c>
      <x:c r="E61" s="161" t="str">
        <x:v>BLOCK</x:v>
      </x:c>
      <x:c r="F61" s="161" t="str">
        <x:v>HIGH</x:v>
      </x:c>
      <x:c r="G61" s="161" t="str">
        <x:v>Policy Enforcement Engine</x:v>
      </x:c>
      <x:c r="H61" s="161" t="str">
        <x:v>NO</x:v>
      </x:c>
      <x:c r="I61" s="162" t="str">
        <x:v>BLOCK</x:v>
      </x:c>
    </x:row>
    <x:row r="62" ht="46" customHeight="1">
      <x:c r="A62" s="161" t="str">
        <x:v>RULE-0060</x:v>
      </x:c>
      <x:c r="B62" s="161" t="str">
        <x:v>Third-Party Agent Monitoring and Termination Enforcement</x:v>
      </x:c>
      <x:c r="C62" s="161" t="str">
        <x:v>AGAF-C-0060</x:v>
      </x:c>
      <x:c r="D62" s="161" t="str">
        <x:v>control.third_party_agent_monitoring_and_termination.status != "COMPLIANT"</x:v>
      </x:c>
      <x:c r="E62" s="161" t="str">
        <x:v>ESCALATE</x:v>
      </x:c>
      <x:c r="F62" s="161" t="str">
        <x:v>MEDIUM</x:v>
      </x:c>
      <x:c r="G62" s="161" t="str">
        <x:v>Runtime Decision Controller</x:v>
      </x:c>
      <x:c r="H62" s="161" t="str">
        <x:v>NO</x:v>
      </x:c>
      <x:c r="I62" s="162" t="str">
        <x:v>ESCALATE</x:v>
      </x:c>
    </x:row>
    <x:row r="63" ht="46" customHeight="1">
      <x:c r="A63" s="161" t="str">
        <x:v>RULE-0061</x:v>
      </x:c>
      <x:c r="B63" s="161" t="str">
        <x:v>Multi-Agent Interaction Policy Enforcement</x:v>
      </x:c>
      <x:c r="C63" s="161" t="str">
        <x:v>AGAF-C-0061</x:v>
      </x:c>
      <x:c r="D63" s="161" t="str">
        <x:v>control.multi_agent_interaction_policy.status != "COMPLIANT"</x:v>
      </x:c>
      <x:c r="E63" s="161" t="str">
        <x:v>ESCALATE</x:v>
      </x:c>
      <x:c r="F63" s="161" t="str">
        <x:v>MEDIUM</x:v>
      </x:c>
      <x:c r="G63" s="161" t="str">
        <x:v>Governance Reporting Engine</x:v>
      </x:c>
      <x:c r="H63" s="161" t="str">
        <x:v>NO</x:v>
      </x:c>
      <x:c r="I63" s="162" t="str">
        <x:v>ESCALATE</x:v>
      </x:c>
    </x:row>
    <x:row r="64" ht="46" customHeight="1">
      <x:c r="A64" s="161" t="str">
        <x:v>RULE-0062</x:v>
      </x:c>
      <x:c r="B64" s="161" t="str">
        <x:v>Delegation Loop and Emergent Risk Detection Enforcement</x:v>
      </x:c>
      <x:c r="C64" s="161" t="str">
        <x:v>AGAF-C-0062</x:v>
      </x:c>
      <x:c r="D64" s="161" t="str">
        <x:v>control.delegation_loop_and_emergent_risk_detection.status != "COMPLIANT"</x:v>
      </x:c>
      <x:c r="E64" s="161" t="str">
        <x:v>ESCALATE</x:v>
      </x:c>
      <x:c r="F64" s="161" t="str">
        <x:v>CRITICAL</x:v>
      </x:c>
      <x:c r="G64" s="161" t="str">
        <x:v>Runtime Decision Controller</x:v>
      </x:c>
      <x:c r="H64" s="161" t="str">
        <x:v>NO</x:v>
      </x:c>
      <x:c r="I64" s="162" t="str">
        <x:v>BLOCK</x:v>
      </x:c>
    </x:row>
    <x:row r="65" ht="46" customHeight="1">
      <x:c r="A65" s="161" t="str">
        <x:v>RULE-0063</x:v>
      </x:c>
      <x:c r="B65" s="161" t="str">
        <x:v>Multi-Agent Accountability Trace Enforcement</x:v>
      </x:c>
      <x:c r="C65" s="161" t="str">
        <x:v>AGAF-C-0063</x:v>
      </x:c>
      <x:c r="D65" s="161" t="str">
        <x:v>control.multi_agent_accountability_trace.status != "COMPLIANT"</x:v>
      </x:c>
      <x:c r="E65" s="161" t="str">
        <x:v>ESCALATE</x:v>
      </x:c>
      <x:c r="F65" s="161" t="str">
        <x:v>MEDIUM</x:v>
      </x:c>
      <x:c r="G65" s="161" t="str">
        <x:v>Governance Reporting Engine</x:v>
      </x:c>
      <x:c r="H65" s="161" t="str">
        <x:v>NO</x:v>
      </x:c>
      <x:c r="I65" s="162" t="str">
        <x:v>ESCALATE</x:v>
      </x:c>
    </x:row>
    <x:row r="66" ht="46" customHeight="1">
      <x:c r="A66" s="161" t="str">
        <x:v>RULE-0064</x:v>
      </x:c>
      <x:c r="B66" s="161" t="str">
        <x:v>Immutable Decision Logging Enforcement</x:v>
      </x:c>
      <x:c r="C66" s="161" t="str">
        <x:v>AGAF-C-0064</x:v>
      </x:c>
      <x:c r="D66" s="161" t="str">
        <x:v>control.immutable_decision_logging.status != "COMPLIANT"</x:v>
      </x:c>
      <x:c r="E66" s="161" t="str">
        <x:v>REVIEW</x:v>
      </x:c>
      <x:c r="F66" s="161" t="str">
        <x:v>MEDIUM</x:v>
      </x:c>
      <x:c r="G66" s="161" t="str">
        <x:v>Runtime Decision Controller</x:v>
      </x:c>
      <x:c r="H66" s="161" t="str">
        <x:v>NO</x:v>
      </x:c>
      <x:c r="I66" s="162" t="str">
        <x:v>ESCALATE</x:v>
      </x:c>
    </x:row>
    <x:row r="67" ht="46" customHeight="1">
      <x:c r="A67" s="161" t="str">
        <x:v>RULE-0065</x:v>
      </x:c>
      <x:c r="B67" s="161" t="str">
        <x:v>Audit Log Retention and Access Enforcement</x:v>
      </x:c>
      <x:c r="C67" s="161" t="str">
        <x:v>AGAF-C-0065</x:v>
      </x:c>
      <x:c r="D67" s="161" t="str">
        <x:v>control.audit_log_retention_and_access.status != "COMPLIANT"</x:v>
      </x:c>
      <x:c r="E67" s="161" t="str">
        <x:v>ESCALATE</x:v>
      </x:c>
      <x:c r="F67" s="161" t="str">
        <x:v>HIGH</x:v>
      </x:c>
      <x:c r="G67" s="161" t="str">
        <x:v>Governance Reporting Engine</x:v>
      </x:c>
      <x:c r="H67" s="161" t="str">
        <x:v>NO</x:v>
      </x:c>
      <x:c r="I67" s="162" t="str">
        <x:v>BLOCK</x:v>
      </x:c>
    </x:row>
    <x:row r="68" ht="46" customHeight="1">
      <x:c r="A68" s="161" t="str">
        <x:v>RULE-0066</x:v>
      </x:c>
      <x:c r="B68" s="161" t="str">
        <x:v>Audit Replay and Evidence Export Enforcement</x:v>
      </x:c>
      <x:c r="C68" s="161" t="str">
        <x:v>AGAF-C-0066</x:v>
      </x:c>
      <x:c r="D68" s="161" t="str">
        <x:v>control.audit_replay_and_evidence_export.status != "COMPLIANT"</x:v>
      </x:c>
      <x:c r="E68" s="161" t="str">
        <x:v>ESCALATE</x:v>
      </x:c>
      <x:c r="F68" s="161" t="str">
        <x:v>MEDIUM</x:v>
      </x:c>
      <x:c r="G68" s="161" t="str">
        <x:v>Governance Reporting Engine</x:v>
      </x:c>
      <x:c r="H68" s="161" t="str">
        <x:v>NO</x:v>
      </x:c>
      <x:c r="I68" s="162" t="str">
        <x:v>ESCALATE</x:v>
      </x:c>
    </x:row>
    <x:row r="69" ht="46" customHeight="1">
      <x:c r="A69" s="161" t="str">
        <x:v>RULE-0067</x:v>
      </x:c>
      <x:c r="B69" s="161" t="str">
        <x:v>Decision Explanation Requirement Enforcement</x:v>
      </x:c>
      <x:c r="C69" s="161" t="str">
        <x:v>AGAF-C-0067</x:v>
      </x:c>
      <x:c r="D69" s="161" t="str">
        <x:v>control.decision_explanation_requirement.status != "COMPLIANT"</x:v>
      </x:c>
      <x:c r="E69" s="161" t="str">
        <x:v>REVIEW</x:v>
      </x:c>
      <x:c r="F69" s="161" t="str">
        <x:v>MEDIUM</x:v>
      </x:c>
      <x:c r="G69" s="161" t="str">
        <x:v>Risk Scoring Engine</x:v>
      </x:c>
      <x:c r="H69" s="161" t="str">
        <x:v>NO</x:v>
      </x:c>
      <x:c r="I69" s="162" t="str">
        <x:v>ESCALATE</x:v>
      </x:c>
    </x:row>
    <x:row r="70" ht="46" customHeight="1">
      <x:c r="A70" s="161" t="str">
        <x:v>RULE-0068</x:v>
      </x:c>
      <x:c r="B70" s="161" t="str">
        <x:v>Explanation Fidelity and Audience Enforcement</x:v>
      </x:c>
      <x:c r="C70" s="161" t="str">
        <x:v>AGAF-C-0068</x:v>
      </x:c>
      <x:c r="D70" s="161" t="str">
        <x:v>control.explanation_fidelity_and_audience.status != "COMPLIANT"</x:v>
      </x:c>
      <x:c r="E70" s="161" t="str">
        <x:v>REVIEW</x:v>
      </x:c>
      <x:c r="F70" s="161" t="str">
        <x:v>MEDIUM</x:v>
      </x:c>
      <x:c r="G70" s="161" t="str">
        <x:v>Risk Scoring Engine</x:v>
      </x:c>
      <x:c r="H70" s="161" t="str">
        <x:v>NO</x:v>
      </x:c>
      <x:c r="I70" s="162" t="str">
        <x:v>ESCALATE</x:v>
      </x:c>
    </x:row>
    <x:row r="71" ht="46" customHeight="1">
      <x:c r="A71" s="161" t="str">
        <x:v>RULE-0069</x:v>
      </x:c>
      <x:c r="B71" s="161" t="str">
        <x:v>Contestability and Explanation Archive Enforcement</x:v>
      </x:c>
      <x:c r="C71" s="161" t="str">
        <x:v>AGAF-C-0069</x:v>
      </x:c>
      <x:c r="D71" s="161" t="str">
        <x:v>control.contestability_and_explanation_archive.status != "COMPLIANT"</x:v>
      </x:c>
      <x:c r="E71" s="161" t="str">
        <x:v>REVIEW</x:v>
      </x:c>
      <x:c r="F71" s="161" t="str">
        <x:v>MEDIUM</x:v>
      </x:c>
      <x:c r="G71" s="161" t="str">
        <x:v>Risk Scoring Engine</x:v>
      </x:c>
      <x:c r="H71" s="161" t="str">
        <x:v>NO</x:v>
      </x:c>
      <x:c r="I71" s="162" t="str">
        <x:v>ESCALATE</x:v>
      </x:c>
    </x:row>
    <x:row r="72" ht="46" customHeight="1">
      <x:c r="A72" s="161" t="str">
        <x:v>RULE-0070</x:v>
      </x:c>
      <x:c r="B72" s="161" t="str">
        <x:v>Regulatory Applicability Register Enforcement</x:v>
      </x:c>
      <x:c r="C72" s="161" t="str">
        <x:v>AGAF-C-0070</x:v>
      </x:c>
      <x:c r="D72" s="161" t="str">
        <x:v>control.regulatory_applicability_register.status != "COMPLIANT"</x:v>
      </x:c>
      <x:c r="E72" s="161" t="str">
        <x:v>REVIEW</x:v>
      </x:c>
      <x:c r="F72" s="161" t="str">
        <x:v>MEDIUM</x:v>
      </x:c>
      <x:c r="G72" s="161" t="str">
        <x:v>Runtime Decision Controller</x:v>
      </x:c>
      <x:c r="H72" s="161" t="str">
        <x:v>NO</x:v>
      </x:c>
      <x:c r="I72" s="162" t="str">
        <x:v>ESCALATE</x:v>
      </x:c>
    </x:row>
    <x:row r="73" ht="46" customHeight="1">
      <x:c r="A73" s="161" t="str">
        <x:v>RULE-0071</x:v>
      </x:c>
      <x:c r="B73" s="161" t="str">
        <x:v>Prohibited and High-Risk AI Gate Enforcement</x:v>
      </x:c>
      <x:c r="C73" s="161" t="str">
        <x:v>AGAF-C-0071</x:v>
      </x:c>
      <x:c r="D73" s="161" t="str">
        <x:v>control.prohibited_and_high_risk_ai_gate.status != "COMPLIANT"</x:v>
      </x:c>
      <x:c r="E73" s="161" t="str">
        <x:v>BLOCK</x:v>
      </x:c>
      <x:c r="F73" s="161" t="str">
        <x:v>HIGH</x:v>
      </x:c>
      <x:c r="G73" s="161" t="str">
        <x:v>Policy Enforcement Engine</x:v>
      </x:c>
      <x:c r="H73" s="161" t="str">
        <x:v>NO</x:v>
      </x:c>
      <x:c r="I73" s="162" t="str">
        <x:v>BLOCK</x:v>
      </x:c>
    </x:row>
    <x:row r="74" ht="46" customHeight="1">
      <x:c r="A74" s="161" t="str">
        <x:v>RULE-0072</x:v>
      </x:c>
      <x:c r="B74" s="161" t="str">
        <x:v>Conformity and Incident Reporting Enforcement</x:v>
      </x:c>
      <x:c r="C74" s="161" t="str">
        <x:v>AGAF-C-0072</x:v>
      </x:c>
      <x:c r="D74" s="161" t="str">
        <x:v>control.conformity_and_incident_reporting.status != "COMPLIANT"</x:v>
      </x:c>
      <x:c r="E74" s="161" t="str">
        <x:v>ESCALATE</x:v>
      </x:c>
      <x:c r="F74" s="161" t="str">
        <x:v>HIGH</x:v>
      </x:c>
      <x:c r="G74" s="161" t="str">
        <x:v>Escalation Engine</x:v>
      </x:c>
      <x:c r="H74" s="161" t="str">
        <x:v>NO</x:v>
      </x:c>
      <x:c r="I74" s="162" t="str">
        <x:v>BLOCK</x:v>
      </x:c>
    </x:row>
    <x:row r="75" ht="46" customHeight="1">
      <x:c r="A75" s="161" t="str">
        <x:v>RULE-0073</x:v>
      </x:c>
      <x:c r="B75" s="161" t="str">
        <x:v>AI Service Recovery Objectives Enforcement</x:v>
      </x:c>
      <x:c r="C75" s="161" t="str">
        <x:v>AGAF-C-0073</x:v>
      </x:c>
      <x:c r="D75" s="161" t="str">
        <x:v>control.ai_service_recovery_objectives.status != "COMPLIANT"</x:v>
      </x:c>
      <x:c r="E75" s="161" t="str">
        <x:v>REVIEW</x:v>
      </x:c>
      <x:c r="F75" s="161" t="str">
        <x:v>HIGH</x:v>
      </x:c>
      <x:c r="G75" s="161" t="str">
        <x:v>Runtime Decision Controller</x:v>
      </x:c>
      <x:c r="H75" s="161" t="str">
        <x:v>YES</x:v>
      </x:c>
      <x:c r="I75" s="162" t="str">
        <x:v>BLOCK</x:v>
      </x:c>
    </x:row>
    <x:row r="76" ht="46" customHeight="1">
      <x:c r="A76" s="161" t="str">
        <x:v>RULE-0074</x:v>
      </x:c>
      <x:c r="B76" s="161" t="str">
        <x:v>Backup Model and Failover Enforcement</x:v>
      </x:c>
      <x:c r="C76" s="161" t="str">
        <x:v>AGAF-C-0074</x:v>
      </x:c>
      <x:c r="D76" s="161" t="str">
        <x:v>control.backup_model_and_failover.status != "COMPLIANT"</x:v>
      </x:c>
      <x:c r="E76" s="161" t="str">
        <x:v>REVIEW</x:v>
      </x:c>
      <x:c r="F76" s="161" t="str">
        <x:v>HIGH</x:v>
      </x:c>
      <x:c r="G76" s="161" t="str">
        <x:v>Runtime Decision Controller</x:v>
      </x:c>
      <x:c r="H76" s="161" t="str">
        <x:v>YES</x:v>
      </x:c>
      <x:c r="I76" s="162" t="str">
        <x:v>BLOCK</x:v>
      </x:c>
    </x:row>
    <x:row r="77" ht="46" customHeight="1">
      <x:c r="A77" s="161" t="str">
        <x:v>RULE-0075</x:v>
      </x:c>
      <x:c r="B77" s="161" t="str">
        <x:v>AI Incident Drill and Postmortem Enforcement</x:v>
      </x:c>
      <x:c r="C77" s="161" t="str">
        <x:v>AGAF-C-0075</x:v>
      </x:c>
      <x:c r="D77" s="161" t="str">
        <x:v>control.ai_incident_drill_and_postmortem.status != "COMPLIANT"</x:v>
      </x:c>
      <x:c r="E77" s="161" t="str">
        <x:v>ESCALATE</x:v>
      </x:c>
      <x:c r="F77" s="161" t="str">
        <x:v>HIGH</x:v>
      </x:c>
      <x:c r="G77" s="161" t="str">
        <x:v>Escalation Engine</x:v>
      </x:c>
      <x:c r="H77" s="161" t="str">
        <x:v>NO</x:v>
      </x:c>
      <x:c r="I77" s="162" t="str">
        <x:v>BLOCK</x:v>
      </x:c>
    </x:row>
    <x:row r="78" ht="46" customHeight="1">
      <x:c r="A78" s="161" t="str">
        <x:v>RULE-0076</x:v>
      </x:c>
      <x:c r="B78" s="161" t="str">
        <x:v>Board AI Oversight Enforcement</x:v>
      </x:c>
      <x:c r="C78" s="161" t="str">
        <x:v>AGAF-C-0076</x:v>
      </x:c>
      <x:c r="D78" s="161" t="str">
        <x:v>control.board_ai_oversight.status != "COMPLIANT"</x:v>
      </x:c>
      <x:c r="E78" s="161" t="str">
        <x:v>ESCALATE</x:v>
      </x:c>
      <x:c r="F78" s="161" t="str">
        <x:v>MEDIUM</x:v>
      </x:c>
      <x:c r="G78" s="161" t="str">
        <x:v>Governance Reporting Engine</x:v>
      </x:c>
      <x:c r="H78" s="161" t="str">
        <x:v>NO</x:v>
      </x:c>
      <x:c r="I78" s="162" t="str">
        <x:v>ESCALATE</x:v>
      </x:c>
    </x:row>
    <x:row r="79" ht="46" customHeight="1">
      <x:c r="A79" s="161" t="str">
        <x:v>RULE-0077</x:v>
      </x:c>
      <x:c r="B79" s="161" t="str">
        <x:v>AI Governance Committee and Three Lines Enforcement</x:v>
      </x:c>
      <x:c r="C79" s="161" t="str">
        <x:v>AGAF-C-0077</x:v>
      </x:c>
      <x:c r="D79" s="161" t="str">
        <x:v>control.ai_governance_committee_and_three_lines.status != "COMPLIANT"</x:v>
      </x:c>
      <x:c r="E79" s="161" t="str">
        <x:v>ESCALATE</x:v>
      </x:c>
      <x:c r="F79" s="161" t="str">
        <x:v>MEDIUM</x:v>
      </x:c>
      <x:c r="G79" s="161" t="str">
        <x:v>Governance Reporting Engine</x:v>
      </x:c>
      <x:c r="H79" s="161" t="str">
        <x:v>NO</x:v>
      </x:c>
      <x:c r="I79" s="162" t="str">
        <x:v>ESCALATE</x:v>
      </x:c>
    </x:row>
    <x:row r="80" ht="46" customHeight="1">
      <x:c r="A80" s="163" t="str">
        <x:v>RULE-0078</x:v>
      </x:c>
      <x:c r="B80" s="163" t="str">
        <x:v>Governance Reporting and Policy Review Enforcement</x:v>
      </x:c>
      <x:c r="C80" s="163" t="str">
        <x:v>AGAF-C-0078</x:v>
      </x:c>
      <x:c r="D80" s="163" t="str">
        <x:v>control.governance_reporting_and_policy_review.status != "COMPLIANT"</x:v>
      </x:c>
      <x:c r="E80" s="163" t="str">
        <x:v>REVIEW</x:v>
      </x:c>
      <x:c r="F80" s="163" t="str">
        <x:v>MEDIUM</x:v>
      </x:c>
      <x:c r="G80" s="163" t="str">
        <x:v>Risk Scoring Engine</x:v>
      </x:c>
      <x:c r="H80" s="163" t="str">
        <x:v>NO</x:v>
      </x:c>
      <x:c r="I80" s="164" t="str">
        <x:v>ESCALATE</x:v>
      </x:c>
    </x:row>
  </x:sheetData>
  <x:mergeCells>
    <x:mergeCell ref="A1:I1"/>
  </x:mergeCells>
  <x:conditionalFormatting sqref="E3:E80">
    <x:cfRule type="expression" dxfId="14" priority="1">
      <x:formula>$E3="BLOCK"</x:formula>
    </x:cfRule>
    <x:cfRule type="expression" dxfId="15" priority="2">
      <x:formula>$E3="QUARANTINE"</x:formula>
    </x:cfRule>
  </x:conditionalFormatting>
  <x:conditionalFormatting sqref="F3:F80">
    <x:cfRule type="expression" dxfId="16" priority="3">
      <x:formula>$F3="CRITICAL"</x:formula>
    </x:cfRule>
  </x:conditionalFormatting>
  <x:conditionalFormatting sqref="H3:H80">
    <x:cfRule type="expression" dxfId="17" priority="4">
      <x:formula>$H3="YES"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193" t="str">
        <x:v>AGAF Control ↔ Runtime Rule Mapping</x:v>
      </x:c>
      <x:c r="B1" s="193"/>
      <x:c r="C1" s="193"/>
      <x:c r="D1" s="193"/>
    </x:row>
    <x:row r="2">
      <x:c r="A2" s="201" t="str">
        <x:v>Control ID</x:v>
      </x:c>
      <x:c r="B2" s="201" t="str">
        <x:v>Rule ID</x:v>
      </x:c>
      <x:c r="C2" s="201" t="str">
        <x:v>Mapping Strength</x:v>
      </x:c>
      <x:c r="D2" s="201" t="str">
        <x:v>Runtime Enforceable</x:v>
      </x:c>
    </x:row>
    <x:row r="3">
      <x:c r="A3" s="185" t="str">
        <x:v>AGAF-C-0001</x:v>
      </x:c>
      <x:c r="B3" s="185" t="str">
        <x:v>RULE-0001</x:v>
      </x:c>
      <x:c r="C3" s="185" t="str">
        <x:v>PRIMARY</x:v>
      </x:c>
      <x:c r="D3" s="185" t="str">
        <x:v>DIRECT</x:v>
      </x:c>
    </x:row>
    <x:row r="4">
      <x:c r="A4" s="185" t="str">
        <x:v>AGAF-C-0002</x:v>
      </x:c>
      <x:c r="B4" s="185" t="str">
        <x:v>RULE-0002</x:v>
      </x:c>
      <x:c r="C4" s="185" t="str">
        <x:v>PRIMARY</x:v>
      </x:c>
      <x:c r="D4" s="185" t="str">
        <x:v>DIRECT</x:v>
      </x:c>
    </x:row>
    <x:row r="5">
      <x:c r="A5" s="185" t="str">
        <x:v>AGAF-C-0003</x:v>
      </x:c>
      <x:c r="B5" s="185" t="str">
        <x:v>RULE-0003</x:v>
      </x:c>
      <x:c r="C5" s="185" t="str">
        <x:v>PRIMARY</x:v>
      </x:c>
      <x:c r="D5" s="185" t="str">
        <x:v>DIRECT</x:v>
      </x:c>
    </x:row>
    <x:row r="6">
      <x:c r="A6" s="185" t="str">
        <x:v>AGAF-C-0004</x:v>
      </x:c>
      <x:c r="B6" s="185" t="str">
        <x:v>RULE-0004</x:v>
      </x:c>
      <x:c r="C6" s="185" t="str">
        <x:v>PRIMARY</x:v>
      </x:c>
      <x:c r="D6" s="185" t="str">
        <x:v>DIRECT</x:v>
      </x:c>
    </x:row>
    <x:row r="7">
      <x:c r="A7" s="185" t="str">
        <x:v>AGAF-C-0005</x:v>
      </x:c>
      <x:c r="B7" s="185" t="str">
        <x:v>RULE-0005</x:v>
      </x:c>
      <x:c r="C7" s="185" t="str">
        <x:v>PRIMARY</x:v>
      </x:c>
      <x:c r="D7" s="185" t="str">
        <x:v>DIRECT</x:v>
      </x:c>
    </x:row>
    <x:row r="8">
      <x:c r="A8" s="185" t="str">
        <x:v>AGAF-C-0006</x:v>
      </x:c>
      <x:c r="B8" s="185" t="str">
        <x:v>RULE-0006</x:v>
      </x:c>
      <x:c r="C8" s="185" t="str">
        <x:v>PRIMARY</x:v>
      </x:c>
      <x:c r="D8" s="185" t="str">
        <x:v>DIRECT</x:v>
      </x:c>
    </x:row>
    <x:row r="9">
      <x:c r="A9" s="185" t="str">
        <x:v>AGAF-C-0007</x:v>
      </x:c>
      <x:c r="B9" s="185" t="str">
        <x:v>RULE-0007</x:v>
      </x:c>
      <x:c r="C9" s="185" t="str">
        <x:v>PRIMARY</x:v>
      </x:c>
      <x:c r="D9" s="185" t="str">
        <x:v>DIRECT</x:v>
      </x:c>
    </x:row>
    <x:row r="10">
      <x:c r="A10" s="185" t="str">
        <x:v>AGAF-C-0008</x:v>
      </x:c>
      <x:c r="B10" s="185" t="str">
        <x:v>RULE-0008</x:v>
      </x:c>
      <x:c r="C10" s="185" t="str">
        <x:v>PRIMARY</x:v>
      </x:c>
      <x:c r="D10" s="185" t="str">
        <x:v>DIRECT</x:v>
      </x:c>
    </x:row>
    <x:row r="11">
      <x:c r="A11" s="185" t="str">
        <x:v>AGAF-C-0009</x:v>
      </x:c>
      <x:c r="B11" s="185" t="str">
        <x:v>RULE-0009</x:v>
      </x:c>
      <x:c r="C11" s="185" t="str">
        <x:v>PRIMARY</x:v>
      </x:c>
      <x:c r="D11" s="185" t="str">
        <x:v>DIRECT</x:v>
      </x:c>
    </x:row>
    <x:row r="12">
      <x:c r="A12" s="185" t="str">
        <x:v>AGAF-C-0010</x:v>
      </x:c>
      <x:c r="B12" s="185" t="str">
        <x:v>RULE-0010</x:v>
      </x:c>
      <x:c r="C12" s="185" t="str">
        <x:v>PRIMARY</x:v>
      </x:c>
      <x:c r="D12" s="185" t="str">
        <x:v>INDIRECT</x:v>
      </x:c>
    </x:row>
    <x:row r="13">
      <x:c r="A13" s="185" t="str">
        <x:v>AGAF-C-0011</x:v>
      </x:c>
      <x:c r="B13" s="185" t="str">
        <x:v>RULE-0011</x:v>
      </x:c>
      <x:c r="C13" s="185" t="str">
        <x:v>PRIMARY</x:v>
      </x:c>
      <x:c r="D13" s="185" t="str">
        <x:v>DIRECT</x:v>
      </x:c>
    </x:row>
    <x:row r="14">
      <x:c r="A14" s="185" t="str">
        <x:v>AGAF-C-0012</x:v>
      </x:c>
      <x:c r="B14" s="185" t="str">
        <x:v>RULE-0012</x:v>
      </x:c>
      <x:c r="C14" s="185" t="str">
        <x:v>PRIMARY</x:v>
      </x:c>
      <x:c r="D14" s="185" t="str">
        <x:v>DIRECT</x:v>
      </x:c>
    </x:row>
    <x:row r="15">
      <x:c r="A15" s="185" t="str">
        <x:v>AGAF-C-0013</x:v>
      </x:c>
      <x:c r="B15" s="185" t="str">
        <x:v>RULE-0013</x:v>
      </x:c>
      <x:c r="C15" s="185" t="str">
        <x:v>PRIMARY</x:v>
      </x:c>
      <x:c r="D15" s="185" t="str">
        <x:v>DIRECT</x:v>
      </x:c>
    </x:row>
    <x:row r="16">
      <x:c r="A16" s="185" t="str">
        <x:v>AGAF-C-0014</x:v>
      </x:c>
      <x:c r="B16" s="185" t="str">
        <x:v>RULE-0014</x:v>
      </x:c>
      <x:c r="C16" s="185" t="str">
        <x:v>PRIMARY</x:v>
      </x:c>
      <x:c r="D16" s="185" t="str">
        <x:v>DIRECT</x:v>
      </x:c>
    </x:row>
    <x:row r="17">
      <x:c r="A17" s="185" t="str">
        <x:v>AGAF-C-0015</x:v>
      </x:c>
      <x:c r="B17" s="185" t="str">
        <x:v>RULE-0015</x:v>
      </x:c>
      <x:c r="C17" s="185" t="str">
        <x:v>PRIMARY</x:v>
      </x:c>
      <x:c r="D17" s="185" t="str">
        <x:v>DIRECT</x:v>
      </x:c>
    </x:row>
    <x:row r="18">
      <x:c r="A18" s="185" t="str">
        <x:v>AGAF-C-0016</x:v>
      </x:c>
      <x:c r="B18" s="185" t="str">
        <x:v>RULE-0016</x:v>
      </x:c>
      <x:c r="C18" s="185" t="str">
        <x:v>PRIMARY</x:v>
      </x:c>
      <x:c r="D18" s="185" t="str">
        <x:v>DIRECT</x:v>
      </x:c>
    </x:row>
    <x:row r="19">
      <x:c r="A19" s="185" t="str">
        <x:v>AGAF-C-0017</x:v>
      </x:c>
      <x:c r="B19" s="185" t="str">
        <x:v>RULE-0017</x:v>
      </x:c>
      <x:c r="C19" s="185" t="str">
        <x:v>PRIMARY</x:v>
      </x:c>
      <x:c r="D19" s="185" t="str">
        <x:v>DIRECT</x:v>
      </x:c>
    </x:row>
    <x:row r="20">
      <x:c r="A20" s="185" t="str">
        <x:v>AGAF-C-0018</x:v>
      </x:c>
      <x:c r="B20" s="185" t="str">
        <x:v>RULE-0018</x:v>
      </x:c>
      <x:c r="C20" s="185" t="str">
        <x:v>PRIMARY</x:v>
      </x:c>
      <x:c r="D20" s="185" t="str">
        <x:v>DIRECT</x:v>
      </x:c>
    </x:row>
    <x:row r="21">
      <x:c r="A21" s="185" t="str">
        <x:v>AGAF-C-0019</x:v>
      </x:c>
      <x:c r="B21" s="185" t="str">
        <x:v>RULE-0019</x:v>
      </x:c>
      <x:c r="C21" s="185" t="str">
        <x:v>PRIMARY</x:v>
      </x:c>
      <x:c r="D21" s="185" t="str">
        <x:v>DIRECT</x:v>
      </x:c>
    </x:row>
    <x:row r="22">
      <x:c r="A22" s="185" t="str">
        <x:v>AGAF-C-0020</x:v>
      </x:c>
      <x:c r="B22" s="185" t="str">
        <x:v>RULE-0020</x:v>
      </x:c>
      <x:c r="C22" s="185" t="str">
        <x:v>PRIMARY</x:v>
      </x:c>
      <x:c r="D22" s="185" t="str">
        <x:v>DIRECT</x:v>
      </x:c>
    </x:row>
    <x:row r="23">
      <x:c r="A23" s="185" t="str">
        <x:v>AGAF-C-0021</x:v>
      </x:c>
      <x:c r="B23" s="185" t="str">
        <x:v>RULE-0021</x:v>
      </x:c>
      <x:c r="C23" s="185" t="str">
        <x:v>PRIMARY</x:v>
      </x:c>
      <x:c r="D23" s="185" t="str">
        <x:v>DIRECT</x:v>
      </x:c>
    </x:row>
    <x:row r="24">
      <x:c r="A24" s="185" t="str">
        <x:v>AGAF-C-0022</x:v>
      </x:c>
      <x:c r="B24" s="185" t="str">
        <x:v>RULE-0022</x:v>
      </x:c>
      <x:c r="C24" s="185" t="str">
        <x:v>PRIMARY</x:v>
      </x:c>
      <x:c r="D24" s="185" t="str">
        <x:v>DIRECT</x:v>
      </x:c>
    </x:row>
    <x:row r="25">
      <x:c r="A25" s="185" t="str">
        <x:v>AGAF-C-0023</x:v>
      </x:c>
      <x:c r="B25" s="185" t="str">
        <x:v>RULE-0023</x:v>
      </x:c>
      <x:c r="C25" s="185" t="str">
        <x:v>PRIMARY</x:v>
      </x:c>
      <x:c r="D25" s="185" t="str">
        <x:v>DIRECT</x:v>
      </x:c>
    </x:row>
    <x:row r="26">
      <x:c r="A26" s="185" t="str">
        <x:v>AGAF-C-0024</x:v>
      </x:c>
      <x:c r="B26" s="185" t="str">
        <x:v>RULE-0024</x:v>
      </x:c>
      <x:c r="C26" s="185" t="str">
        <x:v>PRIMARY</x:v>
      </x:c>
      <x:c r="D26" s="185" t="str">
        <x:v>DIRECT</x:v>
      </x:c>
    </x:row>
    <x:row r="27">
      <x:c r="A27" s="185" t="str">
        <x:v>AGAF-C-0025</x:v>
      </x:c>
      <x:c r="B27" s="185" t="str">
        <x:v>RULE-0025</x:v>
      </x:c>
      <x:c r="C27" s="185" t="str">
        <x:v>PRIMARY</x:v>
      </x:c>
      <x:c r="D27" s="185" t="str">
        <x:v>DIRECT</x:v>
      </x:c>
    </x:row>
    <x:row r="28">
      <x:c r="A28" s="185" t="str">
        <x:v>AGAF-C-0026</x:v>
      </x:c>
      <x:c r="B28" s="185" t="str">
        <x:v>RULE-0026</x:v>
      </x:c>
      <x:c r="C28" s="185" t="str">
        <x:v>PRIMARY</x:v>
      </x:c>
      <x:c r="D28" s="185" t="str">
        <x:v>DIRECT</x:v>
      </x:c>
    </x:row>
    <x:row r="29">
      <x:c r="A29" s="185" t="str">
        <x:v>AGAF-C-0027</x:v>
      </x:c>
      <x:c r="B29" s="185" t="str">
        <x:v>RULE-0027</x:v>
      </x:c>
      <x:c r="C29" s="185" t="str">
        <x:v>PRIMARY</x:v>
      </x:c>
      <x:c r="D29" s="185" t="str">
        <x:v>DIRECT</x:v>
      </x:c>
    </x:row>
    <x:row r="30">
      <x:c r="A30" s="185" t="str">
        <x:v>AGAF-C-0028</x:v>
      </x:c>
      <x:c r="B30" s="185" t="str">
        <x:v>RULE-0028</x:v>
      </x:c>
      <x:c r="C30" s="185" t="str">
        <x:v>PRIMARY</x:v>
      </x:c>
      <x:c r="D30" s="185" t="str">
        <x:v>DIRECT</x:v>
      </x:c>
    </x:row>
    <x:row r="31">
      <x:c r="A31" s="185" t="str">
        <x:v>AGAF-C-0029</x:v>
      </x:c>
      <x:c r="B31" s="185" t="str">
        <x:v>RULE-0029</x:v>
      </x:c>
      <x:c r="C31" s="185" t="str">
        <x:v>PRIMARY</x:v>
      </x:c>
      <x:c r="D31" s="185" t="str">
        <x:v>DIRECT</x:v>
      </x:c>
    </x:row>
    <x:row r="32">
      <x:c r="A32" s="185" t="str">
        <x:v>AGAF-C-0030</x:v>
      </x:c>
      <x:c r="B32" s="185" t="str">
        <x:v>RULE-0030</x:v>
      </x:c>
      <x:c r="C32" s="185" t="str">
        <x:v>PRIMARY</x:v>
      </x:c>
      <x:c r="D32" s="185" t="str">
        <x:v>DIRECT</x:v>
      </x:c>
    </x:row>
    <x:row r="33">
      <x:c r="A33" s="185" t="str">
        <x:v>AGAF-C-0031</x:v>
      </x:c>
      <x:c r="B33" s="185" t="str">
        <x:v>RULE-0031</x:v>
      </x:c>
      <x:c r="C33" s="185" t="str">
        <x:v>PRIMARY</x:v>
      </x:c>
      <x:c r="D33" s="185" t="str">
        <x:v>DIRECT</x:v>
      </x:c>
    </x:row>
    <x:row r="34">
      <x:c r="A34" s="185" t="str">
        <x:v>AGAF-C-0032</x:v>
      </x:c>
      <x:c r="B34" s="185" t="str">
        <x:v>RULE-0032</x:v>
      </x:c>
      <x:c r="C34" s="185" t="str">
        <x:v>PRIMARY</x:v>
      </x:c>
      <x:c r="D34" s="185" t="str">
        <x:v>DIRECT</x:v>
      </x:c>
    </x:row>
    <x:row r="35">
      <x:c r="A35" s="185" t="str">
        <x:v>AGAF-C-0033</x:v>
      </x:c>
      <x:c r="B35" s="185" t="str">
        <x:v>RULE-0033</x:v>
      </x:c>
      <x:c r="C35" s="185" t="str">
        <x:v>PRIMARY</x:v>
      </x:c>
      <x:c r="D35" s="185" t="str">
        <x:v>DIRECT</x:v>
      </x:c>
    </x:row>
    <x:row r="36">
      <x:c r="A36" s="185" t="str">
        <x:v>AGAF-C-0034</x:v>
      </x:c>
      <x:c r="B36" s="185" t="str">
        <x:v>RULE-0034</x:v>
      </x:c>
      <x:c r="C36" s="185" t="str">
        <x:v>PRIMARY</x:v>
      </x:c>
      <x:c r="D36" s="185" t="str">
        <x:v>DIRECT</x:v>
      </x:c>
    </x:row>
    <x:row r="37">
      <x:c r="A37" s="185" t="str">
        <x:v>AGAF-C-0035</x:v>
      </x:c>
      <x:c r="B37" s="185" t="str">
        <x:v>RULE-0035</x:v>
      </x:c>
      <x:c r="C37" s="185" t="str">
        <x:v>PRIMARY</x:v>
      </x:c>
      <x:c r="D37" s="185" t="str">
        <x:v>DIRECT</x:v>
      </x:c>
    </x:row>
    <x:row r="38">
      <x:c r="A38" s="185" t="str">
        <x:v>AGAF-C-0036</x:v>
      </x:c>
      <x:c r="B38" s="185" t="str">
        <x:v>RULE-0036</x:v>
      </x:c>
      <x:c r="C38" s="185" t="str">
        <x:v>PRIMARY</x:v>
      </x:c>
      <x:c r="D38" s="185" t="str">
        <x:v>DIRECT</x:v>
      </x:c>
    </x:row>
    <x:row r="39">
      <x:c r="A39" s="185" t="str">
        <x:v>AGAF-C-0037</x:v>
      </x:c>
      <x:c r="B39" s="185" t="str">
        <x:v>RULE-0037</x:v>
      </x:c>
      <x:c r="C39" s="185" t="str">
        <x:v>PRIMARY</x:v>
      </x:c>
      <x:c r="D39" s="185" t="str">
        <x:v>DIRECT</x:v>
      </x:c>
    </x:row>
    <x:row r="40">
      <x:c r="A40" s="185" t="str">
        <x:v>AGAF-C-0038</x:v>
      </x:c>
      <x:c r="B40" s="185" t="str">
        <x:v>RULE-0038</x:v>
      </x:c>
      <x:c r="C40" s="185" t="str">
        <x:v>PRIMARY</x:v>
      </x:c>
      <x:c r="D40" s="185" t="str">
        <x:v>DIRECT</x:v>
      </x:c>
    </x:row>
    <x:row r="41">
      <x:c r="A41" s="185" t="str">
        <x:v>AGAF-C-0039</x:v>
      </x:c>
      <x:c r="B41" s="185" t="str">
        <x:v>RULE-0039</x:v>
      </x:c>
      <x:c r="C41" s="185" t="str">
        <x:v>PRIMARY</x:v>
      </x:c>
      <x:c r="D41" s="185" t="str">
        <x:v>DIRECT</x:v>
      </x:c>
    </x:row>
    <x:row r="42">
      <x:c r="A42" s="185" t="str">
        <x:v>AGAF-C-0040</x:v>
      </x:c>
      <x:c r="B42" s="185" t="str">
        <x:v>RULE-0040</x:v>
      </x:c>
      <x:c r="C42" s="185" t="str">
        <x:v>PRIMARY</x:v>
      </x:c>
      <x:c r="D42" s="185" t="str">
        <x:v>INDIRECT</x:v>
      </x:c>
    </x:row>
    <x:row r="43">
      <x:c r="A43" s="185" t="str">
        <x:v>AGAF-C-0041</x:v>
      </x:c>
      <x:c r="B43" s="185" t="str">
        <x:v>RULE-0041</x:v>
      </x:c>
      <x:c r="C43" s="185" t="str">
        <x:v>PRIMARY</x:v>
      </x:c>
      <x:c r="D43" s="185" t="str">
        <x:v>INDIRECT</x:v>
      </x:c>
    </x:row>
    <x:row r="44">
      <x:c r="A44" s="185" t="str">
        <x:v>AGAF-C-0042</x:v>
      </x:c>
      <x:c r="B44" s="185" t="str">
        <x:v>RULE-0042</x:v>
      </x:c>
      <x:c r="C44" s="185" t="str">
        <x:v>PRIMARY</x:v>
      </x:c>
      <x:c r="D44" s="185" t="str">
        <x:v>DIRECT</x:v>
      </x:c>
    </x:row>
    <x:row r="45">
      <x:c r="A45" s="185" t="str">
        <x:v>AGAF-C-0043</x:v>
      </x:c>
      <x:c r="B45" s="185" t="str">
        <x:v>RULE-0043</x:v>
      </x:c>
      <x:c r="C45" s="185" t="str">
        <x:v>PRIMARY</x:v>
      </x:c>
      <x:c r="D45" s="185" t="str">
        <x:v>DIRECT</x:v>
      </x:c>
    </x:row>
    <x:row r="46">
      <x:c r="A46" s="185" t="str">
        <x:v>AGAF-C-0044</x:v>
      </x:c>
      <x:c r="B46" s="185" t="str">
        <x:v>RULE-0044</x:v>
      </x:c>
      <x:c r="C46" s="185" t="str">
        <x:v>PRIMARY</x:v>
      </x:c>
      <x:c r="D46" s="185" t="str">
        <x:v>DIRECT</x:v>
      </x:c>
    </x:row>
    <x:row r="47">
      <x:c r="A47" s="185" t="str">
        <x:v>AGAF-C-0045</x:v>
      </x:c>
      <x:c r="B47" s="185" t="str">
        <x:v>RULE-0045</x:v>
      </x:c>
      <x:c r="C47" s="185" t="str">
        <x:v>PRIMARY</x:v>
      </x:c>
      <x:c r="D47" s="185" t="str">
        <x:v>DIRECT</x:v>
      </x:c>
    </x:row>
    <x:row r="48">
      <x:c r="A48" s="185" t="str">
        <x:v>AGAF-C-0046</x:v>
      </x:c>
      <x:c r="B48" s="185" t="str">
        <x:v>RULE-0046</x:v>
      </x:c>
      <x:c r="C48" s="185" t="str">
        <x:v>PRIMARY</x:v>
      </x:c>
      <x:c r="D48" s="185" t="str">
        <x:v>DIRECT</x:v>
      </x:c>
    </x:row>
    <x:row r="49">
      <x:c r="A49" s="185" t="str">
        <x:v>AGAF-C-0047</x:v>
      </x:c>
      <x:c r="B49" s="185" t="str">
        <x:v>RULE-0047</x:v>
      </x:c>
      <x:c r="C49" s="185" t="str">
        <x:v>PRIMARY</x:v>
      </x:c>
      <x:c r="D49" s="185" t="str">
        <x:v>DIRECT</x:v>
      </x:c>
    </x:row>
    <x:row r="50">
      <x:c r="A50" s="185" t="str">
        <x:v>AGAF-C-0048</x:v>
      </x:c>
      <x:c r="B50" s="185" t="str">
        <x:v>RULE-0048</x:v>
      </x:c>
      <x:c r="C50" s="185" t="str">
        <x:v>PRIMARY</x:v>
      </x:c>
      <x:c r="D50" s="185" t="str">
        <x:v>DIRECT</x:v>
      </x:c>
    </x:row>
    <x:row r="51">
      <x:c r="A51" s="185" t="str">
        <x:v>AGAF-C-0049</x:v>
      </x:c>
      <x:c r="B51" s="185" t="str">
        <x:v>RULE-0049</x:v>
      </x:c>
      <x:c r="C51" s="185" t="str">
        <x:v>PRIMARY</x:v>
      </x:c>
      <x:c r="D51" s="185" t="str">
        <x:v>DIRECT</x:v>
      </x:c>
    </x:row>
    <x:row r="52">
      <x:c r="A52" s="185" t="str">
        <x:v>AGAF-C-0050</x:v>
      </x:c>
      <x:c r="B52" s="185" t="str">
        <x:v>RULE-0050</x:v>
      </x:c>
      <x:c r="C52" s="185" t="str">
        <x:v>PRIMARY</x:v>
      </x:c>
      <x:c r="D52" s="185" t="str">
        <x:v>DIRECT</x:v>
      </x:c>
    </x:row>
    <x:row r="53">
      <x:c r="A53" s="185" t="str">
        <x:v>AGAF-C-0051</x:v>
      </x:c>
      <x:c r="B53" s="185" t="str">
        <x:v>RULE-0051</x:v>
      </x:c>
      <x:c r="C53" s="185" t="str">
        <x:v>PRIMARY</x:v>
      </x:c>
      <x:c r="D53" s="185" t="str">
        <x:v>DIRECT</x:v>
      </x:c>
    </x:row>
    <x:row r="54">
      <x:c r="A54" s="185" t="str">
        <x:v>AGAF-C-0052</x:v>
      </x:c>
      <x:c r="B54" s="185" t="str">
        <x:v>RULE-0052</x:v>
      </x:c>
      <x:c r="C54" s="185" t="str">
        <x:v>PRIMARY</x:v>
      </x:c>
      <x:c r="D54" s="185" t="str">
        <x:v>DIRECT</x:v>
      </x:c>
    </x:row>
    <x:row r="55">
      <x:c r="A55" s="185" t="str">
        <x:v>AGAF-C-0053</x:v>
      </x:c>
      <x:c r="B55" s="185" t="str">
        <x:v>RULE-0053</x:v>
      </x:c>
      <x:c r="C55" s="185" t="str">
        <x:v>PRIMARY</x:v>
      </x:c>
      <x:c r="D55" s="185" t="str">
        <x:v>DIRECT</x:v>
      </x:c>
    </x:row>
    <x:row r="56">
      <x:c r="A56" s="185" t="str">
        <x:v>AGAF-C-0054</x:v>
      </x:c>
      <x:c r="B56" s="185" t="str">
        <x:v>RULE-0054</x:v>
      </x:c>
      <x:c r="C56" s="185" t="str">
        <x:v>PRIMARY</x:v>
      </x:c>
      <x:c r="D56" s="185" t="str">
        <x:v>DIRECT</x:v>
      </x:c>
    </x:row>
    <x:row r="57">
      <x:c r="A57" s="185" t="str">
        <x:v>AGAF-C-0055</x:v>
      </x:c>
      <x:c r="B57" s="185" t="str">
        <x:v>RULE-0055</x:v>
      </x:c>
      <x:c r="C57" s="185" t="str">
        <x:v>PRIMARY</x:v>
      </x:c>
      <x:c r="D57" s="185" t="str">
        <x:v>DIRECT</x:v>
      </x:c>
    </x:row>
    <x:row r="58">
      <x:c r="A58" s="185" t="str">
        <x:v>AGAF-C-0056</x:v>
      </x:c>
      <x:c r="B58" s="185" t="str">
        <x:v>RULE-0056</x:v>
      </x:c>
      <x:c r="C58" s="185" t="str">
        <x:v>PRIMARY</x:v>
      </x:c>
      <x:c r="D58" s="185" t="str">
        <x:v>DIRECT</x:v>
      </x:c>
    </x:row>
    <x:row r="59">
      <x:c r="A59" s="185" t="str">
        <x:v>AGAF-C-0057</x:v>
      </x:c>
      <x:c r="B59" s="185" t="str">
        <x:v>RULE-0057</x:v>
      </x:c>
      <x:c r="C59" s="185" t="str">
        <x:v>PRIMARY</x:v>
      </x:c>
      <x:c r="D59" s="185" t="str">
        <x:v>DIRECT</x:v>
      </x:c>
    </x:row>
    <x:row r="60">
      <x:c r="A60" s="185" t="str">
        <x:v>AGAF-C-0058</x:v>
      </x:c>
      <x:c r="B60" s="185" t="str">
        <x:v>RULE-0058</x:v>
      </x:c>
      <x:c r="C60" s="185" t="str">
        <x:v>PRIMARY</x:v>
      </x:c>
      <x:c r="D60" s="185" t="str">
        <x:v>INDIRECT</x:v>
      </x:c>
    </x:row>
    <x:row r="61">
      <x:c r="A61" s="185" t="str">
        <x:v>AGAF-C-0059</x:v>
      </x:c>
      <x:c r="B61" s="185" t="str">
        <x:v>RULE-0059</x:v>
      </x:c>
      <x:c r="C61" s="185" t="str">
        <x:v>PRIMARY</x:v>
      </x:c>
      <x:c r="D61" s="185" t="str">
        <x:v>DIRECT</x:v>
      </x:c>
    </x:row>
    <x:row r="62">
      <x:c r="A62" s="185" t="str">
        <x:v>AGAF-C-0060</x:v>
      </x:c>
      <x:c r="B62" s="185" t="str">
        <x:v>RULE-0060</x:v>
      </x:c>
      <x:c r="C62" s="185" t="str">
        <x:v>PRIMARY</x:v>
      </x:c>
      <x:c r="D62" s="185" t="str">
        <x:v>DIRECT</x:v>
      </x:c>
    </x:row>
    <x:row r="63">
      <x:c r="A63" s="185" t="str">
        <x:v>AGAF-C-0061</x:v>
      </x:c>
      <x:c r="B63" s="185" t="str">
        <x:v>RULE-0061</x:v>
      </x:c>
      <x:c r="C63" s="185" t="str">
        <x:v>PRIMARY</x:v>
      </x:c>
      <x:c r="D63" s="185" t="str">
        <x:v>INDIRECT</x:v>
      </x:c>
    </x:row>
    <x:row r="64">
      <x:c r="A64" s="185" t="str">
        <x:v>AGAF-C-0062</x:v>
      </x:c>
      <x:c r="B64" s="185" t="str">
        <x:v>RULE-0062</x:v>
      </x:c>
      <x:c r="C64" s="185" t="str">
        <x:v>PRIMARY</x:v>
      </x:c>
      <x:c r="D64" s="185" t="str">
        <x:v>DIRECT</x:v>
      </x:c>
    </x:row>
    <x:row r="65">
      <x:c r="A65" s="185" t="str">
        <x:v>AGAF-C-0063</x:v>
      </x:c>
      <x:c r="B65" s="185" t="str">
        <x:v>RULE-0063</x:v>
      </x:c>
      <x:c r="C65" s="185" t="str">
        <x:v>PRIMARY</x:v>
      </x:c>
      <x:c r="D65" s="185" t="str">
        <x:v>DIRECT</x:v>
      </x:c>
    </x:row>
    <x:row r="66">
      <x:c r="A66" s="185" t="str">
        <x:v>AGAF-C-0064</x:v>
      </x:c>
      <x:c r="B66" s="185" t="str">
        <x:v>RULE-0064</x:v>
      </x:c>
      <x:c r="C66" s="185" t="str">
        <x:v>PRIMARY</x:v>
      </x:c>
      <x:c r="D66" s="185" t="str">
        <x:v>DIRECT</x:v>
      </x:c>
    </x:row>
    <x:row r="67">
      <x:c r="A67" s="185" t="str">
        <x:v>AGAF-C-0065</x:v>
      </x:c>
      <x:c r="B67" s="185" t="str">
        <x:v>RULE-0065</x:v>
      </x:c>
      <x:c r="C67" s="185" t="str">
        <x:v>PRIMARY</x:v>
      </x:c>
      <x:c r="D67" s="185" t="str">
        <x:v>DIRECT</x:v>
      </x:c>
    </x:row>
    <x:row r="68">
      <x:c r="A68" s="185" t="str">
        <x:v>AGAF-C-0066</x:v>
      </x:c>
      <x:c r="B68" s="185" t="str">
        <x:v>RULE-0066</x:v>
      </x:c>
      <x:c r="C68" s="185" t="str">
        <x:v>PRIMARY</x:v>
      </x:c>
      <x:c r="D68" s="185" t="str">
        <x:v>DIRECT</x:v>
      </x:c>
    </x:row>
    <x:row r="69">
      <x:c r="A69" s="185" t="str">
        <x:v>AGAF-C-0067</x:v>
      </x:c>
      <x:c r="B69" s="185" t="str">
        <x:v>RULE-0067</x:v>
      </x:c>
      <x:c r="C69" s="185" t="str">
        <x:v>PRIMARY</x:v>
      </x:c>
      <x:c r="D69" s="185" t="str">
        <x:v>DIRECT</x:v>
      </x:c>
    </x:row>
    <x:row r="70">
      <x:c r="A70" s="185" t="str">
        <x:v>AGAF-C-0068</x:v>
      </x:c>
      <x:c r="B70" s="185" t="str">
        <x:v>RULE-0068</x:v>
      </x:c>
      <x:c r="C70" s="185" t="str">
        <x:v>PRIMARY</x:v>
      </x:c>
      <x:c r="D70" s="185" t="str">
        <x:v>DIRECT</x:v>
      </x:c>
    </x:row>
    <x:row r="71">
      <x:c r="A71" s="185" t="str">
        <x:v>AGAF-C-0069</x:v>
      </x:c>
      <x:c r="B71" s="185" t="str">
        <x:v>RULE-0069</x:v>
      </x:c>
      <x:c r="C71" s="185" t="str">
        <x:v>PRIMARY</x:v>
      </x:c>
      <x:c r="D71" s="185" t="str">
        <x:v>DIRECT</x:v>
      </x:c>
    </x:row>
    <x:row r="72">
      <x:c r="A72" s="185" t="str">
        <x:v>AGAF-C-0070</x:v>
      </x:c>
      <x:c r="B72" s="185" t="str">
        <x:v>RULE-0070</x:v>
      </x:c>
      <x:c r="C72" s="185" t="str">
        <x:v>PRIMARY</x:v>
      </x:c>
      <x:c r="D72" s="185" t="str">
        <x:v>DIRECT</x:v>
      </x:c>
    </x:row>
    <x:row r="73">
      <x:c r="A73" s="185" t="str">
        <x:v>AGAF-C-0071</x:v>
      </x:c>
      <x:c r="B73" s="185" t="str">
        <x:v>RULE-0071</x:v>
      </x:c>
      <x:c r="C73" s="185" t="str">
        <x:v>PRIMARY</x:v>
      </x:c>
      <x:c r="D73" s="185" t="str">
        <x:v>DIRECT</x:v>
      </x:c>
    </x:row>
    <x:row r="74">
      <x:c r="A74" s="185" t="str">
        <x:v>AGAF-C-0072</x:v>
      </x:c>
      <x:c r="B74" s="185" t="str">
        <x:v>RULE-0072</x:v>
      </x:c>
      <x:c r="C74" s="185" t="str">
        <x:v>PRIMARY</x:v>
      </x:c>
      <x:c r="D74" s="185" t="str">
        <x:v>DIRECT</x:v>
      </x:c>
    </x:row>
    <x:row r="75">
      <x:c r="A75" s="185" t="str">
        <x:v>AGAF-C-0073</x:v>
      </x:c>
      <x:c r="B75" s="185" t="str">
        <x:v>RULE-0073</x:v>
      </x:c>
      <x:c r="C75" s="185" t="str">
        <x:v>PRIMARY</x:v>
      </x:c>
      <x:c r="D75" s="185" t="str">
        <x:v>DIRECT</x:v>
      </x:c>
    </x:row>
    <x:row r="76">
      <x:c r="A76" s="185" t="str">
        <x:v>AGAF-C-0074</x:v>
      </x:c>
      <x:c r="B76" s="185" t="str">
        <x:v>RULE-0074</x:v>
      </x:c>
      <x:c r="C76" s="185" t="str">
        <x:v>PRIMARY</x:v>
      </x:c>
      <x:c r="D76" s="185" t="str">
        <x:v>DIRECT</x:v>
      </x:c>
    </x:row>
    <x:row r="77">
      <x:c r="A77" s="185" t="str">
        <x:v>AGAF-C-0075</x:v>
      </x:c>
      <x:c r="B77" s="185" t="str">
        <x:v>RULE-0075</x:v>
      </x:c>
      <x:c r="C77" s="185" t="str">
        <x:v>PRIMARY</x:v>
      </x:c>
      <x:c r="D77" s="185" t="str">
        <x:v>DIRECT</x:v>
      </x:c>
    </x:row>
    <x:row r="78">
      <x:c r="A78" s="185" t="str">
        <x:v>AGAF-C-0076</x:v>
      </x:c>
      <x:c r="B78" s="185" t="str">
        <x:v>RULE-0076</x:v>
      </x:c>
      <x:c r="C78" s="185" t="str">
        <x:v>PRIMARY</x:v>
      </x:c>
      <x:c r="D78" s="185" t="str">
        <x:v>INDIRECT</x:v>
      </x:c>
    </x:row>
    <x:row r="79">
      <x:c r="A79" s="185" t="str">
        <x:v>AGAF-C-0077</x:v>
      </x:c>
      <x:c r="B79" s="185" t="str">
        <x:v>RULE-0077</x:v>
      </x:c>
      <x:c r="C79" s="185" t="str">
        <x:v>PRIMARY</x:v>
      </x:c>
      <x:c r="D79" s="185" t="str">
        <x:v>INDIRECT</x:v>
      </x:c>
    </x:row>
    <x:row r="80">
      <x:c r="A80" s="186" t="str">
        <x:v>AGAF-C-0078</x:v>
      </x:c>
      <x:c r="B80" s="186" t="str">
        <x:v>RULE-0078</x:v>
      </x:c>
      <x:c r="C80" s="186" t="str">
        <x:v>PRIMARY</x:v>
      </x:c>
      <x:c r="D80" s="186" t="str">
        <x:v>DIRECT</x:v>
      </x:c>
    </x:row>
  </x:sheetData>
  <x:mergeCells>
    <x:mergeCell ref="A1:D1"/>
  </x:mergeCells>
  <x:conditionalFormatting sqref="D3:D80">
    <x:cfRule type="expression" dxfId="18" priority="1">
      <x:formula>$D3="DIRECT"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44" hidden="0" customWidth="1"/>
    <x:col min="5" max="5" width="64" hidden="0" customWidth="1"/>
    <x:col min="6" max="6" width="64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34" customHeight="1">
      <x:c r="A1" s="205" t="str">
        <x:v>AGAF v1.8 — Governance Report Templates</x:v>
      </x:c>
      <x:c r="B1" s="205"/>
      <x:c r="C1" s="205"/>
      <x:c r="D1" s="205"/>
      <x:c r="E1" s="205"/>
      <x:c r="F1" s="205"/>
      <x:c r="G1" s="205"/>
      <x:c r="H1" s="205"/>
      <x:c r="I1" s="205"/>
    </x:row>
    <x:row r="2" ht="42" customHeight="1">
      <x:c r="A2" s="210" t="str">
        <x:v>Report ID</x:v>
      </x:c>
      <x:c r="B2" s="210" t="str">
        <x:v>Report Name</x:v>
      </x:c>
      <x:c r="C2" s="210" t="str">
        <x:v>Target Audience</x:v>
      </x:c>
      <x:c r="D2" s="210" t="str">
        <x:v>Included Domains</x:v>
      </x:c>
      <x:c r="E2" s="210" t="str">
        <x:v>Included Controls</x:v>
      </x:c>
      <x:c r="F2" s="210" t="str">
        <x:v>Included Rules</x:v>
      </x:c>
      <x:c r="G2" s="210" t="str">
        <x:v>Report Frequency</x:v>
      </x:c>
      <x:c r="H2" s="210" t="str">
        <x:v>Severity Threshold</x:v>
      </x:c>
      <x:c r="I2" s="210" t="str">
        <x:v>Description</x:v>
      </x:c>
    </x:row>
    <x:row r="3" ht="150" customHeight="1">
      <x:c r="A3" s="161" t="str">
        <x:v>RPT-001</x:v>
      </x:c>
      <x:c r="B3" s="161" t="str">
        <x:v>Board AI Governance Report</x:v>
      </x:c>
      <x:c r="C3" s="161" t="str">
        <x:v>Board</x:v>
      </x:c>
      <x:c r="D3" s="161" t="str">
        <x:v>D04, D06, D08, D13, D17, D21, D23, D24, D25</x:v>
      </x:c>
      <x:c r="E3" s="161" t="str">
        <x:v>AGAF-C-0001, AGAF-C-0002, AGAF-C-0003, AGAF-C-0013, AGAF-C-0014, AGAF-C-0015, AGAF-C-0020, AGAF-C-0025, AGAF-C-0026, AGAF-C-0027, AGAF-C-0040, AGAF-C-0042, AGAF-C-0052, AGAF-C-0053, AGAF-C-0054, AGAF-C-0065, AGAF-C-0071, AGAF-C-0072, AGAF-C-0073, AGAF-C-0074, AGAF-C-0075, AGAF-C-0076, AGAF-C-0077, AGAF-C-0078</x:v>
      </x:c>
      <x:c r="F3" s="161" t="str">
        <x:v>RULE-0001, RULE-0002, RULE-0003, RULE-0013, RULE-0014, RULE-0015, RULE-0020, RULE-0025, RULE-0026, RULE-0027, RULE-0040, RULE-0042, RULE-0052, RULE-0053, RULE-0054, RULE-0065, RULE-0071, RULE-0072, RULE-0073, RULE-0074, RULE-0075</x:v>
      </x:c>
      <x:c r="G3" s="161" t="str">
        <x:v>Quarterly</x:v>
      </x:c>
      <x:c r="H3" s="161" t="str">
        <x:v>HIGH</x:v>
      </x:c>
      <x:c r="I3" s="162" t="str">
        <x:v>Board-level oversight of high-impact AI, financial exposure, human oversight, compliance, auditability and strategic governance.</x:v>
      </x:c>
    </x:row>
    <x:row r="4" ht="150" customHeight="1">
      <x:c r="A4" s="161" t="str">
        <x:v>RPT-002</x:v>
      </x:c>
      <x:c r="B4" s="161" t="str">
        <x:v>Executive AI Risk Report</x:v>
      </x:c>
      <x:c r="C4" s="161" t="str">
        <x:v>CEO</x:v>
      </x:c>
      <x:c r="D4" s="161" t="str">
        <x:v>D03, D04, D05, D06, D08, D12, D15, D16, D17, D18, D19, D20, D24, D25</x:v>
      </x:c>
      <x:c r="E4" s="161" t="str">
        <x:v>AGAF-C-0001, AGAF-C-0002, AGAF-C-0003, AGAF-C-0013, AGAF-C-0014, AGAF-C-0015, AGAF-C-0016, AGAF-C-0018, AGAF-C-0020, AGAF-C-0025, AGAF-C-0026, AGAF-C-0027, AGAF-C-0037, AGAF-C-0039, AGAF-C-0049, AGAF-C-0050, AGAF-C-0051, AGAF-C-0052, AGAF-C-0053, AGAF-C-0054, AGAF-C-0057, AGAF-C-0059, AGAF-C-0062, AGAF-C-0073, AGAF-C-0074, AGAF-C-0075</x:v>
      </x:c>
      <x:c r="F4" s="161" t="str">
        <x:v>RULE-0001, RULE-0002, RULE-0003, RULE-0013, RULE-0014, RULE-0015, RULE-0016, RULE-0018, RULE-0020, RULE-0025, RULE-0026, RULE-0027, RULE-0037, RULE-0039, RULE-0049, RULE-0050, RULE-0051, RULE-0052, RULE-0053, RULE-0054, RULE-0057, RULE-0059, RULE-0062, RULE-0073, RULE-0074, RULE-0075</x:v>
      </x:c>
      <x:c r="G4" s="161" t="str">
        <x:v>Monthly</x:v>
      </x:c>
      <x:c r="H4" s="161" t="str">
        <x:v>HIGH</x:v>
      </x:c>
      <x:c r="I4" s="162" t="str">
        <x:v>Executive view of material operational, financial, security, model, third-party and continuity risks requiring management action.</x:v>
      </x:c>
    </x:row>
    <x:row r="5" ht="150" customHeight="1">
      <x:c r="A5" s="161" t="str">
        <x:v>RPT-003</x:v>
      </x:c>
      <x:c r="B5" s="161" t="str">
        <x:v>AI Compliance Report</x:v>
      </x:c>
      <x:c r="C5" s="161" t="str">
        <x:v>Compliance Team</x:v>
      </x:c>
      <x:c r="D5" s="161" t="str">
        <x:v>D01, D04, D06, D08, D11, D12, D13, D17, D18, D19, D21, D22, D23, D25</x:v>
      </x:c>
      <x:c r="E5" s="161" t="str">
        <x:v>AGAF-C-0001, AGAF-C-0002, AGAF-C-0003, AGAF-C-0004, AGAF-C-0005, AGAF-C-0006, AGAF-C-0013, AGAF-C-0014, AGAF-C-0015, AGAF-C-0019, AGAF-C-0020, AGAF-C-0021, AGAF-C-0025, AGAF-C-0026, AGAF-C-0027, AGAF-C-0034, AGAF-C-0035, AGAF-C-0036, AGAF-C-0037, AGAF-C-0038, AGAF-C-0039, AGAF-C-0040, AGAF-C-0041, AGAF-C-0042, AGAF-C-0052, AGAF-C-0053, AGAF-C-0054, AGAF-C-0055, AGAF-C-0056, AGAF-C-0057, AGAF-C-0058, AGAF-C-0059, AGAF-C-0060, AGAF-C-0064, AGAF-C-0065, AGAF-C-0066, AGAF-C-0067, AGAF-C-0068, AGAF-C-0069, AGAF-C-0070, AGAF-C-0071, AGAF-C-0072, AGAF-C-0076, AGAF-C-0077, AGAF-C-0078</x:v>
      </x:c>
      <x:c r="F5" s="161" t="str">
        <x:v>RULE-0001, RULE-0002, RULE-0003, RULE-0004, RULE-0005, RULE-0006, RULE-0013, RULE-0014, RULE-0015, RULE-0019, RULE-0020, RULE-0021, RULE-0025, RULE-0026, RULE-0027, RULE-0034, RULE-0035, RULE-0036, RULE-0037, RULE-0038, RULE-0039, RULE-0040, RULE-0041, RULE-0042, RULE-0052, RULE-0053, RULE-0054, RULE-0055, RULE-0056, RULE-0057, RULE-0058, RULE-0059, RULE-0060, RULE-0064, RULE-0065, RULE-0066, RULE-0067, RULE-0068, RULE-0069, RULE-0070, RULE-0071, RULE-0072, RULE-0076, RULE-0077, RULE-0078</x:v>
      </x:c>
      <x:c r="G5" s="161" t="str">
        <x:v>Monthly</x:v>
      </x:c>
      <x:c r="H5" s="161" t="str">
        <x:v>MEDIUM</x:v>
      </x:c>
      <x:c r="I5" s="162" t="str">
        <x:v>Compliance monitoring of regulatory obligations, privacy, evidence, audit records, model governance and consumer-facing controls.</x:v>
      </x:c>
    </x:row>
    <x:row r="6" ht="150" customHeight="1">
      <x:c r="A6" s="161" t="str">
        <x:v>RPT-004</x:v>
      </x:c>
      <x:c r="B6" s="161" t="str">
        <x:v>AI Audit Report</x:v>
      </x:c>
      <x:c r="C6" s="161" t="str">
        <x:v>Internal Audit</x:v>
      </x:c>
      <x:c r="D6" s="161" t="str">
        <x:v>D01, D02, D03, D04, D05, D06, D07, D08, D09, D10, D11, D12, D13, D14, D15, D16, D17, D18, D19, D20, D21, D22, D23, D24, D25</x:v>
      </x:c>
      <x:c r="E6" s="161" t="str">
        <x:v>AGAF-C-0001, AGAF-C-0002, AGAF-C-0003, AGAF-C-0004, AGAF-C-0005, AGAF-C-0006, AGAF-C-0007, AGAF-C-0008, AGAF-C-0009, AGAF-C-0010, AGAF-C-0011, AGAF-C-0012, AGAF-C-0013, AGAF-C-0014, AGAF-C-0015, AGAF-C-0016, AGAF-C-0017, AGAF-C-0018, AGAF-C-0019, AGAF-C-0020, AGAF-C-0021, AGAF-C-0022, AGAF-C-0023, AGAF-C-0024, AGAF-C-0025, AGAF-C-0026, AGAF-C-0027, AGAF-C-0028, AGAF-C-0029, AGAF-C-0030, AGAF-C-0031, AGAF-C-0032, AGAF-C-0033, AGAF-C-0034, AGAF-C-0035, AGAF-C-0036, AGAF-C-0037, AGAF-C-0038, AGAF-C-0039, AGAF-C-0040, AGAF-C-0041, AGAF-C-0042, AGAF-C-0043, AGAF-C-0044, AGAF-C-0045, AGAF-C-0046, AGAF-C-0047, AGAF-C-0048, AGAF-C-0049, AGAF-C-0050, AGAF-C-0051, AGAF-C-0052, AGAF-C-0053, AGAF-C-0054, AGAF-C-0055, AGAF-C-0056, AGAF-C-0057, AGAF-C-0058, AGAF-C-0059, AGAF-C-0060, AGAF-C-0061, AGAF-C-0062, AGAF-C-0063, AGAF-C-0064, AGAF-C-0065, AGAF-C-0066, AGAF-C-0067, AGAF-C-0068, AGAF-C-0069, AGAF-C-0070, AGAF-C-0071, AGAF-C-0072, AGAF-C-0073, AGAF-C-0074, AGAF-C-0075, AGAF-C-0076, AGAF-C-0077, AGAF-C-0078</x:v>
      </x:c>
      <x:c r="F6" s="161" t="str">
        <x:v>RULE-0001, RULE-0002, RULE-0003, RULE-0004, RULE-0005, RULE-0006, RULE-0007, RULE-0008, RULE-0009, RULE-0010, RULE-0011, RULE-0012, RULE-0013, RULE-0014, RULE-0015, RULE-0016, RULE-0017, RULE-0018, RULE-0019, RULE-0020, RULE-0021, RULE-0022, RULE-0023, RULE-0024, RULE-0025, RULE-0026, RULE-0027, RULE-0028, RULE-0029, RULE-0030, RULE-0031, RULE-0032, RULE-0033, RULE-0034, RULE-0035, RULE-0036, RULE-0037, RULE-0038, RULE-0039, RULE-0040, RULE-0041, RULE-0042, RULE-0043, RULE-0044, RULE-0045, RULE-0046, RULE-0047, RULE-0048, RULE-0049, RULE-0050, RULE-0051, RULE-0052, RULE-0053, RULE-0054, RULE-0055, RULE-0056, RULE-0057, RULE-0058, RULE-0059, RULE-0060, RULE-0061, RULE-0062, RULE-0063, RULE-0064, RULE-0065, RULE-0066, RULE-0067, RULE-0068, RULE-0069, RULE-0070, RULE-0071, RULE-0072, RULE-0073, RULE-0074, RULE-0075, RULE-0076, RULE-0077, RULE-0078</x:v>
      </x:c>
      <x:c r="G6" s="161" t="str">
        <x:v>Quarterly</x:v>
      </x:c>
      <x:c r="H6" s="161" t="str">
        <x:v>LOW</x:v>
      </x:c>
      <x:c r="I6" s="162" t="str">
        <x:v>Independent assurance template covering all AGAF domains, controls, runtime rules, evidence and remediation status.</x:v>
      </x:c>
    </x:row>
    <x:row r="7" ht="150" customHeight="1">
      <x:c r="A7" s="163" t="str">
        <x:v>RPT-005</x:v>
      </x:c>
      <x:c r="B7" s="163" t="str">
        <x:v>AI Risk Committee Report</x:v>
      </x:c>
      <x:c r="C7" s="163" t="str">
        <x:v>Risk Committee</x:v>
      </x:c>
      <x:c r="D7" s="163" t="str">
        <x:v>D03, D04, D05, D06, D07, D08, D12, D15, D16, D17, D18, D19, D20, D21, D23, D24, D25</x:v>
      </x:c>
      <x:c r="E7" s="163" t="str">
        <x:v>AGAF-C-0001, AGAF-C-0002, AGAF-C-0003, AGAF-C-0013, AGAF-C-0014, AGAF-C-0015, AGAF-C-0016, AGAF-C-0018, AGAF-C-0020, AGAF-C-0022, AGAF-C-0023, AGAF-C-0024, AGAF-C-0025, AGAF-C-0026, AGAF-C-0027, AGAF-C-0037, AGAF-C-0039, AGAF-C-0049, AGAF-C-0050, AGAF-C-0051, AGAF-C-0052, AGAF-C-0053, AGAF-C-0054, AGAF-C-0057, AGAF-C-0059, AGAF-C-0062, AGAF-C-0065, AGAF-C-0071, AGAF-C-0072, AGAF-C-0073, AGAF-C-0074, AGAF-C-0075</x:v>
      </x:c>
      <x:c r="F7" s="163" t="str">
        <x:v>RULE-0001, RULE-0002, RULE-0003, RULE-0013, RULE-0014, RULE-0015, RULE-0016, RULE-0018, RULE-0020, RULE-0022, RULE-0023, RULE-0024, RULE-0025, RULE-0026, RULE-0027, RULE-0037, RULE-0039, RULE-0049, RULE-0050, RULE-0051, RULE-0052, RULE-0053, RULE-0054, RULE-0057, RULE-0059, RULE-0062, RULE-0065, RULE-0071, RULE-0072, RULE-0073, RULE-0074, RULE-0075</x:v>
      </x:c>
      <x:c r="G7" s="163" t="str">
        <x:v>Monthly</x:v>
      </x:c>
      <x:c r="H7" s="163" t="str">
        <x:v>HIGH</x:v>
      </x:c>
      <x:c r="I7" s="164" t="str">
        <x:v>Risk committee review of critical and high-severity AI risks, delegations, runtime controls, incidents and residual risk.</x:v>
      </x:c>
    </x:row>
  </x:sheetData>
  <x:mergeCells>
    <x:mergeCell ref="A1:I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04" t="str">
        <x:v>AGAF Report ↔ Control Mapping</x:v>
      </x:c>
      <x:c r="B1" s="204"/>
      <x:c r="C1" s="204"/>
      <x:c r="D1" s="204"/>
    </x:row>
    <x:row r="2">
      <x:c r="A2" s="212" t="str">
        <x:v>Report ID</x:v>
      </x:c>
      <x:c r="B2" s="212" t="str">
        <x:v>Control ID</x:v>
      </x:c>
      <x:c r="C2" s="212" t="str">
        <x:v>Importance</x:v>
      </x:c>
      <x:c r="D2" s="212" t="str">
        <x:v>Required</x:v>
      </x:c>
    </x:row>
    <x:row r="3">
      <x:c r="A3" s="185" t="str">
        <x:v>RPT-001</x:v>
      </x:c>
      <x:c r="B3" s="185" t="str">
        <x:v>AGAF-C-0001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AGAF-C-0002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AGAF-C-0003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AGAF-C-0013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AGAF-C-0014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AGAF-C-0015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AGAF-C-0019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AGAF-C-0020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AGAF-C-0021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AGAF-C-0025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AGAF-C-0026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AGAF-C-0027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AGAF-C-0040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AGAF-C-0041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AGAF-C-0042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AGAF-C-0052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AGAF-C-0053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AGAF-C-0054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AGAF-C-0064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AGAF-C-0065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AGAF-C-0066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AGAF-C-0070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AGAF-C-0071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AGAF-C-0072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AGAF-C-0073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AGAF-C-0074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AGAF-C-0075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AGAF-C-0076</x:v>
      </x:c>
      <x:c r="C30" s="185" t="str">
        <x:v>MEDIUM</x:v>
      </x:c>
      <x:c r="D30" s="185" t="str">
        <x:v>YES</x:v>
      </x:c>
    </x:row>
    <x:row r="31">
      <x:c r="A31" s="185" t="str">
        <x:v>RPT-001</x:v>
      </x:c>
      <x:c r="B31" s="185" t="str">
        <x:v>AGAF-C-0077</x:v>
      </x:c>
      <x:c r="C31" s="185" t="str">
        <x:v>MEDIUM</x:v>
      </x:c>
      <x:c r="D31" s="185" t="str">
        <x:v>YES</x:v>
      </x:c>
    </x:row>
    <x:row r="32">
      <x:c r="A32" s="185" t="str">
        <x:v>RPT-001</x:v>
      </x:c>
      <x:c r="B32" s="185" t="str">
        <x:v>AGAF-C-0078</x:v>
      </x:c>
      <x:c r="C32" s="185" t="str">
        <x:v>MEDIUM</x:v>
      </x:c>
      <x:c r="D32" s="185" t="str">
        <x:v>YES</x:v>
      </x:c>
    </x:row>
    <x:row r="33">
      <x:c r="A33" s="185" t="str">
        <x:v>RPT-002</x:v>
      </x:c>
      <x:c r="B33" s="185" t="str">
        <x:v>AGAF-C-0001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AGAF-C-0002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AGAF-C-0003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AGAF-C-0010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AGAF-C-0011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AGAF-C-0012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AGAF-C-0013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AGAF-C-0014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AGAF-C-0016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AGAF-C-0017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AGAF-C-0018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AGAF-C-0019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AGAF-C-0020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AGAF-C-0021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AGAF-C-0025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AGAF-C-0026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AGAF-C-0027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AGAF-C-0037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AGAF-C-0038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AGAF-C-0039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AGAF-C-0046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AGAF-C-0047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AGAF-C-0048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AGAF-C-0049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AGAF-C-0050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AGAF-C-0051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AGAF-C-0052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AGAF-C-0053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AGAF-C-0054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AGAF-C-0055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AGAF-C-0056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AGAF-C-0057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AGAF-C-0058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AGAF-C-0059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AGAF-C-0060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AGAF-C-0061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AGAF-C-0062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AGAF-C-0063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AGAF-C-0073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AGAF-C-0074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AGAF-C-0075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AGAF-C-0076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AGAF-C-0077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AGAF-C-0078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AGAF-C-0001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AGAF-C-0002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AGAF-C-0003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AGAF-C-0004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AGAF-C-0005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AGAF-C-0006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AGAF-C-0013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AGAF-C-0014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AGAF-C-0015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AGAF-C-0019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AGAF-C-0020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AGAF-C-0021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AGAF-C-0025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AGAF-C-0026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AGAF-C-0027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AGAF-C-0034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AGAF-C-0035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AGAF-C-0036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AGAF-C-0037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AGAF-C-0038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AGAF-C-0039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AGAF-C-0040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AGAF-C-0041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AGAF-C-0042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AGAF-C-0052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AGAF-C-0053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AGAF-C-0054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AGAF-C-0055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AGAF-C-0056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AGAF-C-0057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AGAF-C-0058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AGAF-C-0059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AGAF-C-0060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AGAF-C-0064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AGAF-C-0065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AGAF-C-0066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AGAF-C-0067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AGAF-C-0068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AGAF-C-0069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AGAF-C-0070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AGAF-C-0071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AGAF-C-0072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AGAF-C-0076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AGAF-C-0077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AGAF-C-0078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AGAF-C-0001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AGAF-C-0002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AGAF-C-0003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AGAF-C-0004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AGAF-C-0005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AGAF-C-0006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AGAF-C-0007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AGAF-C-0008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AGAF-C-0009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AGAF-C-0010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AGAF-C-0011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AGAF-C-0012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AGAF-C-0013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AGAF-C-0014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AGAF-C-0015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AGAF-C-0016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AGAF-C-0017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AGAF-C-0018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AGAF-C-0019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AGAF-C-0020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AGAF-C-0021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AGAF-C-0022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AGAF-C-0023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AGAF-C-0024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AGAF-C-0025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AGAF-C-0026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AGAF-C-0027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AGAF-C-0028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AGAF-C-0029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AGAF-C-0030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AGAF-C-0031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AGAF-C-0032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AGAF-C-0033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AGAF-C-0034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AGAF-C-0035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AGAF-C-0036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AGAF-C-0037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AGAF-C-0038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AGAF-C-0039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AGAF-C-0040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AGAF-C-0041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AGAF-C-0042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AGAF-C-0043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AGAF-C-0044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AGAF-C-0045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AGAF-C-0046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AGAF-C-0047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AGAF-C-0048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AGAF-C-0049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AGAF-C-0050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AGAF-C-0051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AGAF-C-0052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AGAF-C-0053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AGAF-C-0054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AGAF-C-0055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AGAF-C-0056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AGAF-C-0058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AGAF-C-0059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AGAF-C-0060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AGAF-C-0061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AGAF-C-0062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AGAF-C-0063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AGAF-C-0064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AGAF-C-0065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AGAF-C-0066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AGAF-C-0067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AGAF-C-0068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AGAF-C-0069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AGAF-C-0070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AGAF-C-0071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AGAF-C-0072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AGAF-C-0073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AGAF-C-0074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AGAF-C-0075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AGAF-C-0076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AGAF-C-0077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AGAF-C-0078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AGAF-C-0001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AGAF-C-0002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AGAF-C-0003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AGAF-C-0010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AGAF-C-0011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AGAF-C-0012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AGAF-C-0013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AGAF-C-0014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AGAF-C-0015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AGAF-C-0016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AGAF-C-0017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AGAF-C-0018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AGAF-C-0019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AGAF-C-0020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AGAF-C-0021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AGAF-C-0022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AGAF-C-0023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AGAF-C-0024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AGAF-C-0025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AGAF-C-0026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AGAF-C-0027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AGAF-C-0037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AGAF-C-0038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AGAF-C-0039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AGAF-C-0046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AGAF-C-0047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AGAF-C-0048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AGAF-C-0049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AGAF-C-0050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AGAF-C-0051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AGAF-C-0052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AGAF-C-0053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AGAF-C-0054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AGAF-C-0055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AGAF-C-0056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AGAF-C-0057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AGAF-C-0058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AGAF-C-0059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AGAF-C-0060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AGAF-C-0061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AGAF-C-0062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AGAF-C-0063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AGAF-C-0064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AGAF-C-0065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AGAF-C-0066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AGAF-C-0070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AGAF-C-0071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AGAF-C-0072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AGAF-C-0073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AGAF-C-0074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AGAF-C-0075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AGAF-C-0076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AGAF-C-0077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AGAF-C-0078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19" priority="1">
      <x:formula>$D3="YES"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204" t="str">
        <x:v>AGAF Report ↔ Runtime Rule Mapping</x:v>
      </x:c>
      <x:c r="B1" s="204"/>
      <x:c r="C1" s="204"/>
      <x:c r="D1" s="204"/>
    </x:row>
    <x:row r="2">
      <x:c r="A2" s="212" t="str">
        <x:v>Report ID</x:v>
      </x:c>
      <x:c r="B2" s="212" t="str">
        <x:v>Rule ID</x:v>
      </x:c>
      <x:c r="C2" s="212" t="str">
        <x:v>Severity</x:v>
      </x:c>
      <x:c r="D2" s="212" t="str">
        <x:v>Include In Report</x:v>
      </x:c>
    </x:row>
    <x:row r="3">
      <x:c r="A3" s="185" t="str">
        <x:v>RPT-001</x:v>
      </x:c>
      <x:c r="B3" s="185" t="str">
        <x:v>RULE-0001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RULE-0002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RULE-0003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RULE-0013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RULE-0014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RULE-0015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RULE-0019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RULE-0020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RULE-0021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RULE-0025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RULE-0026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RULE-0027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RULE-0040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RULE-0041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RULE-0042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RULE-0052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RULE-0053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RULE-0054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RULE-0064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RULE-0065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RULE-0066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RULE-0070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RULE-0071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RULE-0072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RULE-0073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RULE-0074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RULE-0075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RULE-0076</x:v>
      </x:c>
      <x:c r="C30" s="185" t="str">
        <x:v>MEDIUM</x:v>
      </x:c>
      <x:c r="D30" s="185" t="str">
        <x:v>NO</x:v>
      </x:c>
    </x:row>
    <x:row r="31">
      <x:c r="A31" s="185" t="str">
        <x:v>RPT-001</x:v>
      </x:c>
      <x:c r="B31" s="185" t="str">
        <x:v>RULE-0077</x:v>
      </x:c>
      <x:c r="C31" s="185" t="str">
        <x:v>MEDIUM</x:v>
      </x:c>
      <x:c r="D31" s="185" t="str">
        <x:v>NO</x:v>
      </x:c>
    </x:row>
    <x:row r="32">
      <x:c r="A32" s="185" t="str">
        <x:v>RPT-001</x:v>
      </x:c>
      <x:c r="B32" s="185" t="str">
        <x:v>RULE-0078</x:v>
      </x:c>
      <x:c r="C32" s="185" t="str">
        <x:v>MEDIUM</x:v>
      </x:c>
      <x:c r="D32" s="185" t="str">
        <x:v>NO</x:v>
      </x:c>
    </x:row>
    <x:row r="33">
      <x:c r="A33" s="185" t="str">
        <x:v>RPT-002</x:v>
      </x:c>
      <x:c r="B33" s="185" t="str">
        <x:v>RULE-0001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RULE-0002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RULE-0003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RULE-0010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RULE-0011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RULE-0012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RULE-0013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RULE-0014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RULE-0015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RULE-0016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RULE-0017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RULE-0018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RULE-0019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RULE-0020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RULE-0021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RULE-0025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RULE-0026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RULE-0027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RULE-0037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RULE-0038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RULE-0039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RULE-0046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RULE-0047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RULE-0048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RULE-0049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RULE-0050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RULE-0051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RULE-0052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RULE-0053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RULE-0054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RULE-0055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RULE-0056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RULE-0057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RULE-0058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RULE-0059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RULE-0060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RULE-0061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RULE-0062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RULE-0063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RULE-0073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RULE-0074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RULE-0075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RULE-0076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RULE-0077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RULE-0078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RULE-0001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RULE-0002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RULE-0003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RULE-0004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RULE-0005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RULE-0006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RULE-0013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RULE-0014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RULE-0015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RULE-0019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RULE-0020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RULE-0021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RULE-0025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RULE-0026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RULE-0027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RULE-0034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RULE-0035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RULE-0036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RULE-0037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RULE-0038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RULE-0039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RULE-0040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RULE-0041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RULE-0042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RULE-0052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RULE-0053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RULE-0054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RULE-0055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RULE-0056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RULE-0057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RULE-0058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RULE-0059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RULE-0060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RULE-0064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RULE-0065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RULE-0066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RULE-0067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RULE-0068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RULE-0069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RULE-0070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RULE-0071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RULE-0072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RULE-0076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RULE-0077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RULE-0078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RULE-0001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RULE-0002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RULE-0003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RULE-0004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RULE-0005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RULE-0006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RULE-0007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RULE-0008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RULE-0009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RULE-0010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RULE-0011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RULE-0012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RULE-0013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RULE-0014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RULE-0015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RULE-0016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RULE-0017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RULE-0018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RULE-0019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RULE-0020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RULE-0021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RULE-0022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RULE-0023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RULE-0024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RULE-0025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RULE-0026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RULE-0027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RULE-0028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RULE-0029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RULE-0030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RULE-0031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RULE-0032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RULE-0033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RULE-0034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RULE-0035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RULE-0036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RULE-0037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RULE-0038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RULE-0039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RULE-0040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RULE-0041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RULE-0042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RULE-0043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RULE-0044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RULE-0045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RULE-0046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RULE-0047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RULE-0048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RULE-0049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RULE-0050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RULE-0051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RULE-0052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RULE-0053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RULE-0054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RULE-0055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RULE-0056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RULE-0057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RULE-0058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RULE-0059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RULE-0060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RULE-0061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RULE-0062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RULE-0063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RULE-0064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RULE-0065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RULE-0066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RULE-0067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RULE-0068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RULE-0069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RULE-0070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RULE-0071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RULE-0072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RULE-0073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RULE-0074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RULE-0075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RULE-0076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RULE-0077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RULE-0078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RULE-0001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RULE-0002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RULE-0003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RULE-0010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RULE-0011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RULE-0012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RULE-0013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RULE-0014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RULE-0015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RULE-0016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RULE-0017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RULE-0018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RULE-0019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RULE-0020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RULE-0021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RULE-0022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RULE-0023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RULE-0024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RULE-0025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RULE-0026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RULE-0027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RULE-0037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RULE-0038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RULE-0039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RULE-0046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RULE-0047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RULE-0048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RULE-0049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RULE-0050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RULE-0051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RULE-0052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RULE-0053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RULE-0054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RULE-0055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RULE-0056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RULE-0057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RULE-0058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RULE-0059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RULE-0060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RULE-0061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RULE-0062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RULE-0063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RULE-0064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RULE-0065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RULE-0066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RULE-0070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RULE-0071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RULE-0072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RULE-0073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RULE-0074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RULE-0075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RULE-0076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RULE-0077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RULE-0078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20" priority="1">
      <x:formula>$D3="YES"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4" hidden="0" customWidth="1"/>
    <x:col min="9" max="9" width="52" hidden="0" customWidth="1"/>
  </x:cols>
  <x:sheetData>
    <x:row r="1">
      <x:c r="A1" s="204" t="str">
        <x:v>AGAF Governance Dashboard Summary — Template Metadata Only</x:v>
      </x:c>
      <x:c r="B1" s="204"/>
      <x:c r="C1" s="204"/>
      <x:c r="D1" s="204"/>
      <x:c r="E1" s="204"/>
      <x:c r="F1" s="204"/>
    </x:row>
    <x:row r="2">
      <x:c r="A2" s="212" t="str">
        <x:v>Audience</x:v>
      </x:c>
      <x:c r="B2" s="212" t="str">
        <x:v>Domain Count</x:v>
      </x:c>
      <x:c r="C2" s="212" t="str">
        <x:v>Control Count</x:v>
      </x:c>
      <x:c r="D2" s="212" t="str">
        <x:v>Rule Count</x:v>
      </x:c>
      <x:c r="E2" s="212" t="str">
        <x:v>Critical Findings</x:v>
      </x:c>
      <x:c r="F2" s="212" t="str">
        <x:v>Report Count</x:v>
      </x:c>
      <x:c r="H2" s="214" t="str">
        <x:v>Framework Note</x:v>
      </x:c>
      <x:c r="I2" s="214" t="str">
        <x:v>Value</x:v>
      </x:c>
    </x:row>
    <x:row r="3">
      <x:c r="A3" s="113" t="str">
        <x:v>Board</x:v>
      </x:c>
      <x:c r="B3" s="185" t="n">
        <x:v>9</x:v>
      </x:c>
      <x:c r="C3" s="185" t="n">
        <x:v>24</x:v>
      </x:c>
      <x:c r="D3" s="185" t="n">
        <x:v>21</x:v>
      </x:c>
      <x:c r="E3" s="185" t="n">
        <x:v>0</x:v>
      </x:c>
      <x:c r="F3" s="185" t="n">
        <x:v>1</x:v>
      </x:c>
      <x:c r="H3" t="str">
        <x:v>Data Type</x:v>
      </x:c>
      <x:c r="I3" t="str">
        <x:v>Static report-template metadata</x:v>
      </x:c>
    </x:row>
    <x:row r="4">
      <x:c r="A4" s="113" t="str">
        <x:v>CEO</x:v>
      </x:c>
      <x:c r="B4" s="185" t="n">
        <x:v>14</x:v>
      </x:c>
      <x:c r="C4" s="185" t="n">
        <x:v>26</x:v>
      </x:c>
      <x:c r="D4" s="185" t="n">
        <x:v>26</x:v>
      </x:c>
      <x:c r="E4" s="185" t="n">
        <x:v>0</x:v>
      </x:c>
      <x:c r="F4" s="185" t="n">
        <x:v>1</x:v>
      </x:c>
      <x:c r="H4" t="str">
        <x:v>Critical Findings</x:v>
      </x:c>
      <x:c r="I4" t="str">
        <x:v>Initialized to 0; no runtime or live dashboard data</x:v>
      </x:c>
    </x:row>
    <x:row r="5">
      <x:c r="A5" s="113" t="str">
        <x:v>Compliance Team</x:v>
      </x:c>
      <x:c r="B5" s="185" t="n">
        <x:v>14</x:v>
      </x:c>
      <x:c r="C5" s="185" t="n">
        <x:v>45</x:v>
      </x:c>
      <x:c r="D5" s="185" t="n">
        <x:v>45</x:v>
      </x:c>
      <x:c r="E5" s="185" t="n">
        <x:v>0</x:v>
      </x:c>
      <x:c r="F5" s="185" t="n">
        <x:v>1</x:v>
      </x:c>
    </x:row>
    <x:row r="6">
      <x:c r="A6" s="113" t="str">
        <x:v>Internal Audit</x:v>
      </x:c>
      <x:c r="B6" s="185" t="n">
        <x:v>25</x:v>
      </x:c>
      <x:c r="C6" s="185" t="n">
        <x:v>78</x:v>
      </x:c>
      <x:c r="D6" s="185" t="n">
        <x:v>78</x:v>
      </x:c>
      <x:c r="E6" s="185" t="n">
        <x:v>0</x:v>
      </x:c>
      <x:c r="F6" s="185" t="n">
        <x:v>1</x:v>
      </x:c>
    </x:row>
    <x:row r="7">
      <x:c r="A7" s="116" t="str">
        <x:v>Risk Committee</x:v>
      </x:c>
      <x:c r="B7" s="188" t="n">
        <x:v>17</x:v>
      </x:c>
      <x:c r="C7" s="188" t="n">
        <x:v>32</x:v>
      </x:c>
      <x:c r="D7" s="188" t="n">
        <x:v>32</x:v>
      </x:c>
      <x:c r="E7" s="188" t="n">
        <x:v>0</x:v>
      </x:c>
      <x:c r="F7" s="188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12" hidden="0" customWidth="1"/>
    <x:col min="5" max="5" width="14" hidden="0" customWidth="1"/>
    <x:col min="6" max="6" width="74" hidden="0" customWidth="1"/>
    <x:col min="7" max="7" width="28" hidden="0" customWidth="1"/>
    <x:col min="8" max="8" width="56" hidden="0" customWidth="1"/>
    <x:col min="10" max="10" width="24" hidden="0" customWidth="1"/>
    <x:col min="11" max="11" width="48" hidden="0" customWidth="1"/>
  </x:cols>
  <x:sheetData>
    <x:row r="1" ht="34" customHeight="1">
      <x:c r="A1" s="218" t="str">
        <x:v>AGAF v1.9 — Scoring Model Framework</x:v>
      </x:c>
      <x:c r="B1" s="218"/>
      <x:c r="C1" s="218"/>
      <x:c r="D1" s="218"/>
      <x:c r="E1" s="218"/>
      <x:c r="F1" s="218"/>
      <x:c r="G1" s="218"/>
      <x:c r="H1" s="218"/>
    </x:row>
    <x:row r="2" ht="40" customHeight="1">
      <x:c r="A2" s="223" t="str">
        <x:v>Score Layer</x:v>
      </x:c>
      <x:c r="B2" s="223" t="str">
        <x:v>Score Item</x:v>
      </x:c>
      <x:c r="C2" s="223" t="str">
        <x:v>Input Source</x:v>
      </x:c>
      <x:c r="D2" s="223" t="str">
        <x:v>Weight</x:v>
      </x:c>
      <x:c r="E2" s="223" t="str">
        <x:v>Score Range</x:v>
      </x:c>
      <x:c r="F2" s="223" t="str">
        <x:v>Calculation Logic</x:v>
      </x:c>
      <x:c r="G2" s="223" t="str">
        <x:v>Output</x:v>
      </x:c>
      <x:c r="H2" s="223" t="str">
        <x:v>Description</x:v>
      </x:c>
      <x:c r="J2" s="225" t="str">
        <x:v>Scoring Philosophy</x:v>
      </x:c>
      <x:c r="K2" s="225" t="str">
        <x:v>Definition</x:v>
      </x:c>
    </x:row>
    <x:row r="3" ht="92" customHeight="1">
      <x:c r="A3" s="161" t="str">
        <x:v>Question Score</x:v>
      </x:c>
      <x:c r="B3" s="161" t="str">
        <x:v>Risk-weighted assessment completion</x:v>
      </x:c>
      <x:c r="C3" s="161" t="str">
        <x:v>Q001-Q270 assessment results; Risk Criticality</x:v>
      </x:c>
      <x:c r="D3" s="161" t="str">
        <x:v>20</x:v>
      </x:c>
      <x:c r="E3" s="161" t="str">
        <x:v>0-20</x:v>
      </x:c>
      <x:c r="F3" s="161" t="str">
        <x:v>SUM(response factor × question criticality) / SUM(applicable question criticality) × 20; COMPLIANT=1, PARTIAL=0.5, NON_COMPLIANT=0, N/A excluded</x:v>
      </x:c>
      <x:c r="G3" s="161" t="str">
        <x:v>Weighted Question Score</x:v>
      </x:c>
      <x:c r="H3" s="162" t="str">
        <x:v>Measures whether required risk questions are satisfied, not whether activity merely exists.</x:v>
      </x:c>
      <x:c r="J3" t="str">
        <x:v>Primary Question</x:v>
      </x:c>
      <x:c r="K3" t="str">
        <x:v>Can the organization make AI risk controllable?</x:v>
      </x:c>
    </x:row>
    <x:row r="4" ht="92" customHeight="1">
      <x:c r="A4" s="161" t="str">
        <x:v>Control Score</x:v>
      </x:c>
      <x:c r="B4" s="161" t="str">
        <x:v>Criticality-weighted control implementation</x:v>
      </x:c>
      <x:c r="C4" s="161" t="str">
        <x:v>Control Framework; Question Control Mapping</x:v>
      </x:c>
      <x:c r="D4" s="161" t="str">
        <x:v>25</x:v>
      </x:c>
      <x:c r="E4" s="161" t="str">
        <x:v>0-25</x:v>
      </x:c>
      <x:c r="F4" s="161" t="str">
        <x:v>SUM(control implementation factor × Base Weight) / SUM(applicable Base Weight) × 25; IMPLEMENTED=1, PARTIAL=0.5, MISSING=0</x:v>
      </x:c>
      <x:c r="G4" s="161" t="str">
        <x:v>Weighted Control Score</x:v>
      </x:c>
      <x:c r="H4" s="162" t="str">
        <x:v>Complete absence of controls deducts 25 domain points; an individual missing control deducts its proportional Scoring Impact.</x:v>
      </x:c>
      <x:c r="J4" t="str">
        <x:v>Full Control Gap</x:v>
      </x:c>
      <x:c r="K4" t="str">
        <x:v>-25 domain points</x:v>
      </x:c>
    </x:row>
    <x:row r="5" ht="92" customHeight="1">
      <x:c r="A5" s="161" t="str">
        <x:v>Evidence Score</x:v>
      </x:c>
      <x:c r="B5" s="161" t="str">
        <x:v>Verified and current evidence coverage</x:v>
      </x:c>
      <x:c r="C5" s="161" t="str">
        <x:v>Evidence Library; evidence verification status</x:v>
      </x:c>
      <x:c r="D5" s="161" t="str">
        <x:v>20</x:v>
      </x:c>
      <x:c r="E5" s="161" t="str">
        <x:v>0-20</x:v>
      </x:c>
      <x:c r="F5" s="161" t="str">
        <x:v>Verified current evidence items / required evidence items × 20; expired or unverified evidence receives 0</x:v>
      </x:c>
      <x:c r="G5" s="161" t="str">
        <x:v>Weighted Evidence Score</x:v>
      </x:c>
      <x:c r="H5" s="162" t="str">
        <x:v>Complete absence of evidence deducts 20 domain points.</x:v>
      </x:c>
      <x:c r="J5" t="str">
        <x:v>Full Evidence Gap</x:v>
      </x:c>
      <x:c r="K5" t="str">
        <x:v>-20 domain points</x:v>
      </x:c>
    </x:row>
    <x:row r="6" ht="92" customHeight="1">
      <x:c r="A6" s="161" t="str">
        <x:v>Runtime Score</x:v>
      </x:c>
      <x:c r="B6" s="161" t="str">
        <x:v>Active runtime rule enforcement</x:v>
      </x:c>
      <x:c r="C6" s="161" t="str">
        <x:v>Runtime Rule Catalog; Control Rule Mapping</x:v>
      </x:c>
      <x:c r="D6" s="161" t="str">
        <x:v>25</x:v>
      </x:c>
      <x:c r="E6" s="161" t="str">
        <x:v>0-25</x:v>
      </x:c>
      <x:c r="F6" s="161" t="str">
        <x:v>SUM(active rule factor × severity weight) / SUM(applicable severity weight) × 25; ACTIVE=1, MONITOR_ONLY=0.5, MISSING=0</x:v>
      </x:c>
      <x:c r="G6" s="161" t="str">
        <x:v>Weighted Runtime Score</x:v>
      </x:c>
      <x:c r="H6" s="162" t="str">
        <x:v>Complete absence of runtime rules deducts 25 domain points.</x:v>
      </x:c>
      <x:c r="J6" t="str">
        <x:v>Full Runtime Rule Gap</x:v>
      </x:c>
      <x:c r="K6" t="str">
        <x:v>-25 domain points</x:v>
      </x:c>
    </x:row>
    <x:row r="7" ht="92" customHeight="1">
      <x:c r="A7" s="161" t="str">
        <x:v>Governance Score</x:v>
      </x:c>
      <x:c r="B7" s="161" t="str">
        <x:v>Required governance reporting coverage</x:v>
      </x:c>
      <x:c r="C7" s="161" t="str">
        <x:v>Governance Report Templates; Report Control Mapping; Report Rule Mapping</x:v>
      </x:c>
      <x:c r="D7" s="161" t="str">
        <x:v>10</x:v>
      </x:c>
      <x:c r="E7" s="161" t="str">
        <x:v>0-10</x:v>
      </x:c>
      <x:c r="F7" s="161" t="str">
        <x:v>Required report controls and rules included / total required report controls and rules × 10</x:v>
      </x:c>
      <x:c r="G7" s="161" t="str">
        <x:v>Weighted Governance Score</x:v>
      </x:c>
      <x:c r="H7" s="162" t="str">
        <x:v>Measures whether risk information reaches accountable governance audiences.</x:v>
      </x:c>
    </x:row>
    <x:row r="8" ht="92" customHeight="1">
      <x:c r="A8" s="161" t="str">
        <x:v>Domain Score</x:v>
      </x:c>
      <x:c r="B8" s="161" t="str">
        <x:v>Composite domain controllability</x:v>
      </x:c>
      <x:c r="C8" s="161" t="str">
        <x:v>Five weighted layer outputs</x:v>
      </x:c>
      <x:c r="D8" s="161" t="str">
        <x:v>100</x:v>
      </x:c>
      <x:c r="E8" s="161" t="str">
        <x:v>0-100</x:v>
      </x:c>
      <x:c r="F8" s="161" t="str">
        <x:v>Question Score + Control Score + Evidence Score + Runtime Score + Governance Score</x:v>
      </x:c>
      <x:c r="G8" s="161" t="str">
        <x:v>Domain Score</x:v>
      </x:c>
      <x:c r="H8" s="162" t="str">
        <x:v>D08 and every domain use the same transparent 20/25/20/25/10 structure.</x:v>
      </x:c>
    </x:row>
    <x:row r="9" ht="92" customHeight="1">
      <x:c r="A9" s="163" t="str">
        <x:v>Overall AGAF Score</x:v>
      </x:c>
      <x:c r="B9" s="163" t="str">
        <x:v>Organization-wide controllability</x:v>
      </x:c>
      <x:c r="C9" s="163" t="str">
        <x:v>25 Domain Scores</x:v>
      </x:c>
      <x:c r="D9" s="163" t="str">
        <x:v>100</x:v>
      </x:c>
      <x:c r="E9" s="163" t="str">
        <x:v>0-100</x:v>
      </x:c>
      <x:c r="F9" s="163" t="str">
        <x:v>SUM(25 Domain Scores) / 25</x:v>
      </x:c>
      <x:c r="G9" s="163" t="str">
        <x:v>Overall AGAF Score</x:v>
      </x:c>
      <x:c r="H9" s="164" t="str">
        <x:v>Interpreted using AGAF Maturity Levels; measures controllability of risk rather than general performance.</x:v>
      </x:c>
    </x:row>
  </x:sheetData>
  <x:mergeCells>
    <x:mergeCell ref="A1:H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8" hidden="0" customWidth="1"/>
    <x:col min="10" max="10" width="24" hidden="0" customWidth="1"/>
    <x:col min="11" max="11" width="48" hidden="0" customWidth="1"/>
  </x:cols>
  <x:sheetData>
    <x:row r="1">
      <x:c r="A1" s="217" t="str">
        <x:v>AGAF Domain Scoring Matrix</x:v>
      </x:c>
      <x:c r="B1" s="217"/>
      <x:c r="C1" s="217"/>
      <x:c r="D1" s="217"/>
      <x:c r="E1" s="217"/>
      <x:c r="F1" s="217"/>
      <x:c r="G1" s="217"/>
      <x:c r="H1" s="217"/>
    </x:row>
    <x:row r="2">
      <x:c r="A2" s="222" t="str">
        <x:v>Domain</x:v>
      </x:c>
      <x:c r="B2" s="222" t="str">
        <x:v>Question Weight</x:v>
      </x:c>
      <x:c r="C2" s="222" t="str">
        <x:v>Control Weight</x:v>
      </x:c>
      <x:c r="D2" s="222" t="str">
        <x:v>Evidence Weight</x:v>
      </x:c>
      <x:c r="E2" s="222" t="str">
        <x:v>Runtime Weight</x:v>
      </x:c>
      <x:c r="F2" s="222" t="str">
        <x:v>Governance Weight</x:v>
      </x:c>
      <x:c r="G2" s="222" t="str">
        <x:v>Total Weight</x:v>
      </x:c>
      <x:c r="H2" s="222" t="str">
        <x:v>Risk Interpretation</x:v>
      </x:c>
      <x:c r="J2" s="225" t="str">
        <x:v>D08 Calculation</x:v>
      </x:c>
      <x:c r="K2" s="225" t="str">
        <x:v>Formula</x:v>
      </x:c>
    </x:row>
    <x:row r="3" ht="32" customHeight="1">
      <x:c r="A3" s="161" t="str">
        <x:v>D01 Agent Identity</x:v>
      </x:c>
      <x:c r="B3" s="226" t="n">
        <x:v>20</x:v>
      </x:c>
      <x:c r="C3" s="226" t="n">
        <x:v>25</x:v>
      </x:c>
      <x:c r="D3" s="226" t="n">
        <x:v>20</x:v>
      </x:c>
      <x:c r="E3" s="226" t="n">
        <x:v>25</x:v>
      </x:c>
      <x:c r="F3" s="226" t="n">
        <x:v>10</x:v>
      </x:c>
      <x:c r="G3" s="226" t="n">
        <x:f>SUM(B3:F3)</x:f>
        <x:v>100</x:v>
      </x:c>
      <x:c r="H3" s="161" t="str">
        <x:v>Core control domain: scores below 76 require a documented improvement plan.</x:v>
      </x:c>
      <x:c r="J3" t="str">
        <x:v>Question Layer</x:v>
      </x:c>
      <x:c r="K3" t="str">
        <x:v>Risk-weighted D08 responses × 20</x:v>
      </x:c>
    </x:row>
    <x:row r="4" ht="32" customHeight="1">
      <x:c r="A4" s="161" t="str">
        <x:v>D02 Agent Trust</x:v>
      </x:c>
      <x:c r="B4" s="226" t="n">
        <x:v>20</x:v>
      </x:c>
      <x:c r="C4" s="226" t="n">
        <x:v>25</x:v>
      </x:c>
      <x:c r="D4" s="226" t="n">
        <x:v>20</x:v>
      </x:c>
      <x:c r="E4" s="226" t="n">
        <x:v>25</x:v>
      </x:c>
      <x:c r="F4" s="226" t="n">
        <x:v>10</x:v>
      </x:c>
      <x:c r="G4" s="226" t="n">
        <x:f>SUM(B4:F4)</x:f>
        <x:v>100</x:v>
      </x:c>
      <x:c r="H4" s="161" t="str">
        <x:v>Core control domain: scores below 76 require a documented improvement plan.</x:v>
      </x:c>
      <x:c r="J4" t="str">
        <x:v>Control Layer</x:v>
      </x:c>
      <x:c r="K4" t="str">
        <x:v>Implemented D08 control weights × 25</x:v>
      </x:c>
    </x:row>
    <x:row r="5" ht="32" customHeight="1">
      <x:c r="A5" s="161" t="str">
        <x:v>D03 Runtime Decision Control</x:v>
      </x:c>
      <x:c r="B5" s="226" t="n">
        <x:v>20</x:v>
      </x:c>
      <x:c r="C5" s="226" t="n">
        <x:v>25</x:v>
      </x:c>
      <x:c r="D5" s="226" t="n">
        <x:v>20</x:v>
      </x:c>
      <x:c r="E5" s="226" t="n">
        <x:v>25</x:v>
      </x:c>
      <x:c r="F5" s="226" t="n">
        <x:v>10</x:v>
      </x:c>
      <x:c r="G5" s="226" t="n">
        <x:f>SUM(B5:F5)</x:f>
        <x:v>100</x:v>
      </x:c>
      <x:c r="H5" s="161" t="str">
        <x:v>Core control domain: scores below 76 require a documented improvement plan.</x:v>
      </x:c>
      <x:c r="J5" t="str">
        <x:v>Evidence Layer</x:v>
      </x:c>
      <x:c r="K5" t="str">
        <x:v>Verified D08 evidence coverage × 20</x:v>
      </x:c>
    </x:row>
    <x:row r="6" ht="32" customHeight="1">
      <x:c r="A6" s="161" t="str">
        <x:v>D04 Financial Actions</x:v>
      </x:c>
      <x:c r="B6" s="226" t="n">
        <x:v>20</x:v>
      </x:c>
      <x:c r="C6" s="226" t="n">
        <x:v>25</x:v>
      </x:c>
      <x:c r="D6" s="226" t="n">
        <x:v>20</x:v>
      </x:c>
      <x:c r="E6" s="226" t="n">
        <x:v>25</x:v>
      </x:c>
      <x:c r="F6" s="226" t="n">
        <x:v>10</x:v>
      </x:c>
      <x:c r="G6" s="226" t="n">
        <x:f>SUM(B6:F6)</x:f>
        <x:v>100</x:v>
      </x:c>
      <x:c r="H6" s="161" t="str">
        <x:v>Material risk domain: scores below 76 require prioritized governance remediation.</x:v>
      </x:c>
      <x:c r="J6" t="str">
        <x:v>Runtime Layer</x:v>
      </x:c>
      <x:c r="K6" t="str">
        <x:v>Active D08 severity-weighted rules × 25</x:v>
      </x:c>
    </x:row>
    <x:row r="7" ht="32" customHeight="1">
      <x:c r="A7" s="161" t="str">
        <x:v>D05 Infrastructure Changes</x:v>
      </x:c>
      <x:c r="B7" s="226" t="n">
        <x:v>20</x:v>
      </x:c>
      <x:c r="C7" s="226" t="n">
        <x:v>25</x:v>
      </x:c>
      <x:c r="D7" s="226" t="n">
        <x:v>20</x:v>
      </x:c>
      <x:c r="E7" s="226" t="n">
        <x:v>25</x:v>
      </x:c>
      <x:c r="F7" s="226" t="n">
        <x:v>10</x:v>
      </x:c>
      <x:c r="G7" s="226" t="n">
        <x:f>SUM(B7:F7)</x:f>
        <x:v>100</x:v>
      </x:c>
      <x:c r="H7" s="161" t="str">
        <x:v>Core control domain: scores below 76 require a documented improvement plan.</x:v>
      </x:c>
      <x:c r="J7" t="str">
        <x:v>Governance Layer</x:v>
      </x:c>
      <x:c r="K7" t="str">
        <x:v>Required D08 report coverage × 10</x:v>
      </x:c>
    </x:row>
    <x:row r="8" ht="32" customHeight="1">
      <x:c r="A8" s="161" t="str">
        <x:v>D06 Human Override</x:v>
      </x:c>
      <x:c r="B8" s="226" t="n">
        <x:v>20</x:v>
      </x:c>
      <x:c r="C8" s="226" t="n">
        <x:v>25</x:v>
      </x:c>
      <x:c r="D8" s="226" t="n">
        <x:v>20</x:v>
      </x:c>
      <x:c r="E8" s="226" t="n">
        <x:v>25</x:v>
      </x:c>
      <x:c r="F8" s="226" t="n">
        <x:v>10</x:v>
      </x:c>
      <x:c r="G8" s="226" t="n">
        <x:f>SUM(B8:F8)</x:f>
        <x:v>100</x:v>
      </x:c>
      <x:c r="H8" s="161" t="str">
        <x:v>Material risk domain: scores below 76 require prioritized governance remediation.</x:v>
      </x:c>
      <x:c r="J8" t="str">
        <x:v>D08 Domain Score</x:v>
      </x:c>
      <x:c r="K8" t="str">
        <x:v>Sum of five layers = 0-100</x:v>
      </x:c>
    </x:row>
    <x:row r="9" ht="32" customHeight="1">
      <x:c r="A9" s="161" t="str">
        <x:v>D07 Delegation</x:v>
      </x:c>
      <x:c r="B9" s="226" t="n">
        <x:v>20</x:v>
      </x:c>
      <x:c r="C9" s="226" t="n">
        <x:v>25</x:v>
      </x:c>
      <x:c r="D9" s="226" t="n">
        <x:v>20</x:v>
      </x:c>
      <x:c r="E9" s="226" t="n">
        <x:v>25</x:v>
      </x:c>
      <x:c r="F9" s="226" t="n">
        <x:v>10</x:v>
      </x:c>
      <x:c r="G9" s="226" t="n">
        <x:f>SUM(B9:F9)</x:f>
        <x:v>100</x:v>
      </x:c>
      <x:c r="H9" s="161" t="str">
        <x:v>Core control domain: scores below 76 require a documented improvement plan.</x:v>
      </x:c>
    </x:row>
    <x:row r="10" ht="32" customHeight="1">
      <x:c r="A10" s="161" t="str">
        <x:v>D08 AI Risk Management</x:v>
      </x:c>
      <x:c r="B10" s="226" t="n">
        <x:v>20</x:v>
      </x:c>
      <x:c r="C10" s="226" t="n">
        <x:v>25</x:v>
      </x:c>
      <x:c r="D10" s="226" t="n">
        <x:v>20</x:v>
      </x:c>
      <x:c r="E10" s="226" t="n">
        <x:v>25</x:v>
      </x:c>
      <x:c r="F10" s="226" t="n">
        <x:v>10</x:v>
      </x:c>
      <x:c r="G10" s="226" t="n">
        <x:f>SUM(B10:F10)</x:f>
        <x:v>100</x:v>
      </x:c>
      <x:c r="H10" s="161" t="str">
        <x:v>Material risk domain: scores below 76 require prioritized governance remediation.</x:v>
      </x:c>
    </x:row>
    <x:row r="11" ht="32" customHeight="1">
      <x:c r="A11" s="161" t="str">
        <x:v>D09 Tool Usage</x:v>
      </x:c>
      <x:c r="B11" s="226" t="n">
        <x:v>20</x:v>
      </x:c>
      <x:c r="C11" s="226" t="n">
        <x:v>25</x:v>
      </x:c>
      <x:c r="D11" s="226" t="n">
        <x:v>20</x:v>
      </x:c>
      <x:c r="E11" s="226" t="n">
        <x:v>25</x:v>
      </x:c>
      <x:c r="F11" s="226" t="n">
        <x:v>10</x:v>
      </x:c>
      <x:c r="G11" s="226" t="n">
        <x:f>SUM(B11:F11)</x:f>
        <x:v>100</x:v>
      </x:c>
      <x:c r="H11" s="161" t="str">
        <x:v>Core control domain: scores below 76 require a documented improvement plan.</x:v>
      </x:c>
    </x:row>
    <x:row r="12" ht="32" customHeight="1">
      <x:c r="A12" s="161" t="str">
        <x:v>D10 External API</x:v>
      </x:c>
      <x:c r="B12" s="226" t="n">
        <x:v>20</x:v>
      </x:c>
      <x:c r="C12" s="226" t="n">
        <x:v>25</x:v>
      </x:c>
      <x:c r="D12" s="226" t="n">
        <x:v>20</x:v>
      </x:c>
      <x:c r="E12" s="226" t="n">
        <x:v>25</x:v>
      </x:c>
      <x:c r="F12" s="226" t="n">
        <x:v>10</x:v>
      </x:c>
      <x:c r="G12" s="226" t="n">
        <x:f>SUM(B12:F12)</x:f>
        <x:v>100</x:v>
      </x:c>
      <x:c r="H12" s="161" t="str">
        <x:v>Core control domain: scores below 76 require a documented improvement plan.</x:v>
      </x:c>
    </x:row>
    <x:row r="13" ht="32" customHeight="1">
      <x:c r="A13" s="161" t="str">
        <x:v>D11 Data Access</x:v>
      </x:c>
      <x:c r="B13" s="226" t="n">
        <x:v>20</x:v>
      </x:c>
      <x:c r="C13" s="226" t="n">
        <x:v>25</x:v>
      </x:c>
      <x:c r="D13" s="226" t="n">
        <x:v>20</x:v>
      </x:c>
      <x:c r="E13" s="226" t="n">
        <x:v>25</x:v>
      </x:c>
      <x:c r="F13" s="226" t="n">
        <x:v>10</x:v>
      </x:c>
      <x:c r="G13" s="226" t="n">
        <x:f>SUM(B13:F13)</x:f>
        <x:v>100</x:v>
      </x:c>
      <x:c r="H13" s="161" t="str">
        <x:v>Core control domain: scores below 76 require a documented improvement plan.</x:v>
      </x:c>
    </x:row>
    <x:row r="14" ht="32" customHeight="1">
      <x:c r="A14" s="161" t="str">
        <x:v>D12 Data Leakage</x:v>
      </x:c>
      <x:c r="B14" s="226" t="n">
        <x:v>20</x:v>
      </x:c>
      <x:c r="C14" s="226" t="n">
        <x:v>25</x:v>
      </x:c>
      <x:c r="D14" s="226" t="n">
        <x:v>20</x:v>
      </x:c>
      <x:c r="E14" s="226" t="n">
        <x:v>25</x:v>
      </x:c>
      <x:c r="F14" s="226" t="n">
        <x:v>10</x:v>
      </x:c>
      <x:c r="G14" s="226" t="n">
        <x:f>SUM(B14:F14)</x:f>
        <x:v>100</x:v>
      </x:c>
      <x:c r="H14" s="161" t="str">
        <x:v>Core control domain: scores below 76 require a documented improvement plan.</x:v>
      </x:c>
    </x:row>
    <x:row r="15" ht="32" customHeight="1">
      <x:c r="A15" s="161" t="str">
        <x:v>D13 Privacy</x:v>
      </x:c>
      <x:c r="B15" s="226" t="n">
        <x:v>20</x:v>
      </x:c>
      <x:c r="C15" s="226" t="n">
        <x:v>25</x:v>
      </x:c>
      <x:c r="D15" s="226" t="n">
        <x:v>20</x:v>
      </x:c>
      <x:c r="E15" s="226" t="n">
        <x:v>25</x:v>
      </x:c>
      <x:c r="F15" s="226" t="n">
        <x:v>10</x:v>
      </x:c>
      <x:c r="G15" s="226" t="n">
        <x:f>SUM(B15:F15)</x:f>
        <x:v>100</x:v>
      </x:c>
      <x:c r="H15" s="161" t="str">
        <x:v>Material risk domain: scores below 76 require prioritized governance remediation.</x:v>
      </x:c>
    </x:row>
    <x:row r="16" ht="32" customHeight="1">
      <x:c r="A16" s="161" t="str">
        <x:v>D14 Knowledge Sources</x:v>
      </x:c>
      <x:c r="B16" s="226" t="n">
        <x:v>20</x:v>
      </x:c>
      <x:c r="C16" s="226" t="n">
        <x:v>25</x:v>
      </x:c>
      <x:c r="D16" s="226" t="n">
        <x:v>20</x:v>
      </x:c>
      <x:c r="E16" s="226" t="n">
        <x:v>25</x:v>
      </x:c>
      <x:c r="F16" s="226" t="n">
        <x:v>10</x:v>
      </x:c>
      <x:c r="G16" s="226" t="n">
        <x:f>SUM(B16:F16)</x:f>
        <x:v>100</x:v>
      </x:c>
      <x:c r="H16" s="161" t="str">
        <x:v>Core control domain: scores below 76 require a documented improvement plan.</x:v>
      </x:c>
    </x:row>
    <x:row r="17" ht="32" customHeight="1">
      <x:c r="A17" s="161" t="str">
        <x:v>D15 Hallucination</x:v>
      </x:c>
      <x:c r="B17" s="226" t="n">
        <x:v>20</x:v>
      </x:c>
      <x:c r="C17" s="226" t="n">
        <x:v>25</x:v>
      </x:c>
      <x:c r="D17" s="226" t="n">
        <x:v>20</x:v>
      </x:c>
      <x:c r="E17" s="226" t="n">
        <x:v>25</x:v>
      </x:c>
      <x:c r="F17" s="226" t="n">
        <x:v>10</x:v>
      </x:c>
      <x:c r="G17" s="226" t="n">
        <x:f>SUM(B17:F17)</x:f>
        <x:v>100</x:v>
      </x:c>
      <x:c r="H17" s="161" t="str">
        <x:v>Core control domain: scores below 76 require a documented improvement plan.</x:v>
      </x:c>
    </x:row>
    <x:row r="18" ht="32" customHeight="1">
      <x:c r="A18" s="161" t="str">
        <x:v>D16 Prompt Security</x:v>
      </x:c>
      <x:c r="B18" s="226" t="n">
        <x:v>20</x:v>
      </x:c>
      <x:c r="C18" s="226" t="n">
        <x:v>25</x:v>
      </x:c>
      <x:c r="D18" s="226" t="n">
        <x:v>20</x:v>
      </x:c>
      <x:c r="E18" s="226" t="n">
        <x:v>25</x:v>
      </x:c>
      <x:c r="F18" s="226" t="n">
        <x:v>10</x:v>
      </x:c>
      <x:c r="G18" s="226" t="n">
        <x:f>SUM(B18:F18)</x:f>
        <x:v>100</x:v>
      </x:c>
      <x:c r="H18" s="161" t="str">
        <x:v>Core control domain: scores below 76 require a documented improvement plan.</x:v>
      </x:c>
    </x:row>
    <x:row r="19" ht="32" customHeight="1">
      <x:c r="A19" s="161" t="str">
        <x:v>D17 Model Governance</x:v>
      </x:c>
      <x:c r="B19" s="226" t="n">
        <x:v>20</x:v>
      </x:c>
      <x:c r="C19" s="226" t="n">
        <x:v>25</x:v>
      </x:c>
      <x:c r="D19" s="226" t="n">
        <x:v>20</x:v>
      </x:c>
      <x:c r="E19" s="226" t="n">
        <x:v>25</x:v>
      </x:c>
      <x:c r="F19" s="226" t="n">
        <x:v>10</x:v>
      </x:c>
      <x:c r="G19" s="226" t="n">
        <x:f>SUM(B19:F19)</x:f>
        <x:v>100</x:v>
      </x:c>
      <x:c r="H19" s="161" t="str">
        <x:v>Material risk domain: scores below 76 require prioritized governance remediation.</x:v>
      </x:c>
    </x:row>
    <x:row r="20" ht="32" customHeight="1">
      <x:c r="A20" s="161" t="str">
        <x:v>D18 Supply Chain</x:v>
      </x:c>
      <x:c r="B20" s="226" t="n">
        <x:v>20</x:v>
      </x:c>
      <x:c r="C20" s="226" t="n">
        <x:v>25</x:v>
      </x:c>
      <x:c r="D20" s="226" t="n">
        <x:v>20</x:v>
      </x:c>
      <x:c r="E20" s="226" t="n">
        <x:v>25</x:v>
      </x:c>
      <x:c r="F20" s="226" t="n">
        <x:v>10</x:v>
      </x:c>
      <x:c r="G20" s="226" t="n">
        <x:f>SUM(B20:F20)</x:f>
        <x:v>100</x:v>
      </x:c>
      <x:c r="H20" s="161" t="str">
        <x:v>Core control domain: scores below 76 require a documented improvement plan.</x:v>
      </x:c>
    </x:row>
    <x:row r="21" ht="32" customHeight="1">
      <x:c r="A21" s="161" t="str">
        <x:v>D19 Third Party Agents</x:v>
      </x:c>
      <x:c r="B21" s="226" t="n">
        <x:v>20</x:v>
      </x:c>
      <x:c r="C21" s="226" t="n">
        <x:v>25</x:v>
      </x:c>
      <x:c r="D21" s="226" t="n">
        <x:v>20</x:v>
      </x:c>
      <x:c r="E21" s="226" t="n">
        <x:v>25</x:v>
      </x:c>
      <x:c r="F21" s="226" t="n">
        <x:v>10</x:v>
      </x:c>
      <x:c r="G21" s="226" t="n">
        <x:f>SUM(B21:F21)</x:f>
        <x:v>100</x:v>
      </x:c>
      <x:c r="H21" s="161" t="str">
        <x:v>Core control domain: scores below 76 require a documented improvement plan.</x:v>
      </x:c>
    </x:row>
    <x:row r="22" ht="32" customHeight="1">
      <x:c r="A22" s="161" t="str">
        <x:v>D20 Multi Agent Governance</x:v>
      </x:c>
      <x:c r="B22" s="226" t="n">
        <x:v>20</x:v>
      </x:c>
      <x:c r="C22" s="226" t="n">
        <x:v>25</x:v>
      </x:c>
      <x:c r="D22" s="226" t="n">
        <x:v>20</x:v>
      </x:c>
      <x:c r="E22" s="226" t="n">
        <x:v>25</x:v>
      </x:c>
      <x:c r="F22" s="226" t="n">
        <x:v>10</x:v>
      </x:c>
      <x:c r="G22" s="226" t="n">
        <x:f>SUM(B22:F22)</x:f>
        <x:v>100</x:v>
      </x:c>
      <x:c r="H22" s="161" t="str">
        <x:v>Core control domain: scores below 76 require a documented improvement plan.</x:v>
      </x:c>
    </x:row>
    <x:row r="23" ht="32" customHeight="1">
      <x:c r="A23" s="161" t="str">
        <x:v>D21 Auditability</x:v>
      </x:c>
      <x:c r="B23" s="226" t="n">
        <x:v>20</x:v>
      </x:c>
      <x:c r="C23" s="226" t="n">
        <x:v>25</x:v>
      </x:c>
      <x:c r="D23" s="226" t="n">
        <x:v>20</x:v>
      </x:c>
      <x:c r="E23" s="226" t="n">
        <x:v>25</x:v>
      </x:c>
      <x:c r="F23" s="226" t="n">
        <x:v>10</x:v>
      </x:c>
      <x:c r="G23" s="226" t="n">
        <x:f>SUM(B23:F23)</x:f>
        <x:v>100</x:v>
      </x:c>
      <x:c r="H23" s="161" t="str">
        <x:v>Material risk domain: scores below 76 require prioritized governance remediation.</x:v>
      </x:c>
    </x:row>
    <x:row r="24" ht="32" customHeight="1">
      <x:c r="A24" s="161" t="str">
        <x:v>D22 Explainability</x:v>
      </x:c>
      <x:c r="B24" s="226" t="n">
        <x:v>20</x:v>
      </x:c>
      <x:c r="C24" s="226" t="n">
        <x:v>25</x:v>
      </x:c>
      <x:c r="D24" s="226" t="n">
        <x:v>20</x:v>
      </x:c>
      <x:c r="E24" s="226" t="n">
        <x:v>25</x:v>
      </x:c>
      <x:c r="F24" s="226" t="n">
        <x:v>10</x:v>
      </x:c>
      <x:c r="G24" s="226" t="n">
        <x:f>SUM(B24:F24)</x:f>
        <x:v>100</x:v>
      </x:c>
      <x:c r="H24" s="161" t="str">
        <x:v>Core control domain: scores below 76 require a documented improvement plan.</x:v>
      </x:c>
    </x:row>
    <x:row r="25" ht="32" customHeight="1">
      <x:c r="A25" s="161" t="str">
        <x:v>D23 Compliance</x:v>
      </x:c>
      <x:c r="B25" s="226" t="n">
        <x:v>20</x:v>
      </x:c>
      <x:c r="C25" s="226" t="n">
        <x:v>25</x:v>
      </x:c>
      <x:c r="D25" s="226" t="n">
        <x:v>20</x:v>
      </x:c>
      <x:c r="E25" s="226" t="n">
        <x:v>25</x:v>
      </x:c>
      <x:c r="F25" s="226" t="n">
        <x:v>10</x:v>
      </x:c>
      <x:c r="G25" s="226" t="n">
        <x:f>SUM(B25:F25)</x:f>
        <x:v>100</x:v>
      </x:c>
      <x:c r="H25" s="161" t="str">
        <x:v>Material risk domain: scores below 76 require prioritized governance remediation.</x:v>
      </x:c>
    </x:row>
    <x:row r="26" ht="32" customHeight="1">
      <x:c r="A26" s="161" t="str">
        <x:v>D24 Business Continuity</x:v>
      </x:c>
      <x:c r="B26" s="226" t="n">
        <x:v>20</x:v>
      </x:c>
      <x:c r="C26" s="226" t="n">
        <x:v>25</x:v>
      </x:c>
      <x:c r="D26" s="226" t="n">
        <x:v>20</x:v>
      </x:c>
      <x:c r="E26" s="226" t="n">
        <x:v>25</x:v>
      </x:c>
      <x:c r="F26" s="226" t="n">
        <x:v>10</x:v>
      </x:c>
      <x:c r="G26" s="226" t="n">
        <x:f>SUM(B26:F26)</x:f>
        <x:v>100</x:v>
      </x:c>
      <x:c r="H26" s="161" t="str">
        <x:v>Core control domain: scores below 76 require a documented improvement plan.</x:v>
      </x:c>
    </x:row>
    <x:row r="27" ht="32" customHeight="1">
      <x:c r="A27" s="163" t="str">
        <x:v>D25 Strategic Governance</x:v>
      </x:c>
      <x:c r="B27" s="227" t="n">
        <x:v>20</x:v>
      </x:c>
      <x:c r="C27" s="227" t="n">
        <x:v>25</x:v>
      </x:c>
      <x:c r="D27" s="227" t="n">
        <x:v>20</x:v>
      </x:c>
      <x:c r="E27" s="227" t="n">
        <x:v>25</x:v>
      </x:c>
      <x:c r="F27" s="227" t="n">
        <x:v>10</x:v>
      </x:c>
      <x:c r="G27" s="227" t="n">
        <x:f>SUM(B27:F27)</x:f>
        <x:v>100</x:v>
      </x:c>
      <x:c r="H27" s="163" t="str">
        <x:v>Material risk domain: scores below 76 require prioritized governance remediation.</x:v>
      </x:c>
    </x:row>
  </x:sheetData>
  <x:mergeCells>
    <x:mergeCell ref="A1:H1"/>
  </x:mergeCells>
  <x:conditionalFormatting sqref="G3:G27">
    <x:cfRule type="expression" dxfId="21" priority="1">
      <x:formula>$G3=100</x:formula>
    </x:cfRule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217" t="str">
        <x:v>AGAF Control Scoring Matrix</x:v>
      </x:c>
      <x:c r="B1" s="217"/>
      <x:c r="C1" s="217"/>
      <x:c r="D1" s="217"/>
      <x:c r="E1" s="217"/>
      <x:c r="F1" s="217"/>
      <x:c r="G1" s="217"/>
    </x:row>
    <x:row r="2">
      <x:c r="A2" s="222" t="str">
        <x:v>Control ID</x:v>
      </x:c>
      <x:c r="B2" s="222" t="str">
        <x:v>Control Criticality</x:v>
      </x:c>
      <x:c r="C2" s="222" t="str">
        <x:v>Evidence Required</x:v>
      </x:c>
      <x:c r="D2" s="222" t="str">
        <x:v>Runtime Enforceable</x:v>
      </x:c>
      <x:c r="E2" s="222" t="str">
        <x:v>Runtime Action</x:v>
      </x:c>
      <x:c r="F2" s="222" t="str">
        <x:v>Base Weight</x:v>
      </x:c>
      <x:c r="G2" s="222" t="str">
        <x:v>Scoring Impact</x:v>
      </x:c>
    </x:row>
    <x:row r="3">
      <x:c r="A3" s="146" t="str">
        <x:v>AGAF-C-0001</x:v>
      </x:c>
      <x:c r="B3" s="146" t="str">
        <x:v>HIGH</x:v>
      </x:c>
      <x:c r="C3" s="146" t="str">
        <x:v>Risk Register; Audit Report</x:v>
      </x:c>
      <x:c r="D3" s="146" t="str">
        <x:v>YES</x:v>
      </x:c>
      <x:c r="E3" s="146" t="str">
        <x:v>ESCALATE</x:v>
      </x:c>
      <x:c r="F3" s="228" t="n">
        <x:v>3</x:v>
      </x:c>
      <x:c r="G3" s="230" t="n">
        <x:v>-4.6875</x:v>
      </x:c>
    </x:row>
    <x:row r="4">
      <x:c r="A4" s="146" t="str">
        <x:v>AGAF-C-0002</x:v>
      </x:c>
      <x:c r="B4" s="146" t="str">
        <x:v>CRITICAL</x:v>
      </x:c>
      <x:c r="C4" s="146" t="str">
        <x:v>Approval Log; Policy Document</x:v>
      </x:c>
      <x:c r="D4" s="146" t="str">
        <x:v>YES</x:v>
      </x:c>
      <x:c r="E4" s="146" t="str">
        <x:v>BLOCK</x:v>
      </x:c>
      <x:c r="F4" s="228" t="n">
        <x:v>4</x:v>
      </x:c>
      <x:c r="G4" s="230" t="n">
        <x:v>-8.333333333333334</x:v>
      </x:c>
    </x:row>
    <x:row r="5">
      <x:c r="A5" s="146" t="str">
        <x:v>AGAF-C-0003</x:v>
      </x:c>
      <x:c r="B5" s="146" t="str">
        <x:v>CRITICAL</x:v>
      </x:c>
      <x:c r="C5" s="146" t="str">
        <x:v>Policy Document; Audit Report</x:v>
      </x:c>
      <x:c r="D5" s="146" t="str">
        <x:v>YES</x:v>
      </x:c>
      <x:c r="E5" s="146" t="str">
        <x:v>REVIEW</x:v>
      </x:c>
      <x:c r="F5" s="228" t="n">
        <x:v>4</x:v>
      </x:c>
      <x:c r="G5" s="230" t="n">
        <x:v>-6.25</x:v>
      </x:c>
    </x:row>
    <x:row r="6">
      <x:c r="A6" s="146" t="str">
        <x:v>AGAF-C-0004</x:v>
      </x:c>
      <x:c r="B6" s="146" t="str">
        <x:v>MEDIUM</x:v>
      </x:c>
      <x:c r="C6" s="146" t="str">
        <x:v>Policy Document; Audit Report</x:v>
      </x:c>
      <x:c r="D6" s="146" t="str">
        <x:v>YES</x:v>
      </x:c>
      <x:c r="E6" s="146" t="str">
        <x:v>BLOCK</x:v>
      </x:c>
      <x:c r="F6" s="228" t="n">
        <x:v>2</x:v>
      </x:c>
      <x:c r="G6" s="230" t="n">
        <x:v>-7.142857142857143</x:v>
      </x:c>
    </x:row>
    <x:row r="7">
      <x:c r="A7" s="146" t="str">
        <x:v>AGAF-C-0005</x:v>
      </x:c>
      <x:c r="B7" s="146" t="str">
        <x:v>HIGH</x:v>
      </x:c>
      <x:c r="C7" s="146" t="str">
        <x:v>Policy Document; Audit Report</x:v>
      </x:c>
      <x:c r="D7" s="146" t="str">
        <x:v>YES</x:v>
      </x:c>
      <x:c r="E7" s="146" t="str">
        <x:v>REVIEW</x:v>
      </x:c>
      <x:c r="F7" s="228" t="n">
        <x:v>3</x:v>
      </x:c>
      <x:c r="G7" s="230" t="n">
        <x:v>-10.714285714285714</x:v>
      </x:c>
    </x:row>
    <x:row r="8">
      <x:c r="A8" s="146" t="str">
        <x:v>AGAF-C-0006</x:v>
      </x:c>
      <x:c r="B8" s="146" t="str">
        <x:v>MEDIUM</x:v>
      </x:c>
      <x:c r="C8" s="146" t="str">
        <x:v>Policy Document; Audit Report</x:v>
      </x:c>
      <x:c r="D8" s="146" t="str">
        <x:v>YES</x:v>
      </x:c>
      <x:c r="E8" s="146" t="str">
        <x:v>REVIEW</x:v>
      </x:c>
      <x:c r="F8" s="228" t="n">
        <x:v>2</x:v>
      </x:c>
      <x:c r="G8" s="230" t="n">
        <x:v>-7.142857142857143</x:v>
      </x:c>
    </x:row>
    <x:row r="9">
      <x:c r="A9" s="146" t="str">
        <x:v>AGAF-C-0007</x:v>
      </x:c>
      <x:c r="B9" s="146" t="str">
        <x:v>MEDIUM</x:v>
      </x:c>
      <x:c r="C9" s="146" t="str">
        <x:v>Policy Document; Audit Report</x:v>
      </x:c>
      <x:c r="D9" s="146" t="str">
        <x:v>YES</x:v>
      </x:c>
      <x:c r="E9" s="146" t="str">
        <x:v>BLOCK</x:v>
      </x:c>
      <x:c r="F9" s="228" t="n">
        <x:v>2</x:v>
      </x:c>
      <x:c r="G9" s="230" t="n">
        <x:v>-8.333333333333334</x:v>
      </x:c>
    </x:row>
    <x:row r="10">
      <x:c r="A10" s="146" t="str">
        <x:v>AGAF-C-0008</x:v>
      </x:c>
      <x:c r="B10" s="146" t="str">
        <x:v>MEDIUM</x:v>
      </x:c>
      <x:c r="C10" s="146" t="str">
        <x:v>Policy Document; Audit Report</x:v>
      </x:c>
      <x:c r="D10" s="146" t="str">
        <x:v>YES</x:v>
      </x:c>
      <x:c r="E10" s="146" t="str">
        <x:v>BLOCK</x:v>
      </x:c>
      <x:c r="F10" s="228" t="n">
        <x:v>2</x:v>
      </x:c>
      <x:c r="G10" s="230" t="n">
        <x:v>-8.333333333333334</x:v>
      </x:c>
    </x:row>
    <x:row r="11">
      <x:c r="A11" s="146" t="str">
        <x:v>AGAF-C-0009</x:v>
      </x:c>
      <x:c r="B11" s="146" t="str">
        <x:v>MEDIUM</x:v>
      </x:c>
      <x:c r="C11" s="146" t="str">
        <x:v>Policy Document; Audit Report</x:v>
      </x:c>
      <x:c r="D11" s="146" t="str">
        <x:v>YES</x:v>
      </x:c>
      <x:c r="E11" s="146" t="str">
        <x:v>BLOCK</x:v>
      </x:c>
      <x:c r="F11" s="228" t="n">
        <x:v>2</x:v>
      </x:c>
      <x:c r="G11" s="230" t="n">
        <x:v>-8.333333333333334</x:v>
      </x:c>
    </x:row>
    <x:row r="12">
      <x:c r="A12" s="146" t="str">
        <x:v>AGAF-C-0010</x:v>
      </x:c>
      <x:c r="B12" s="146" t="str">
        <x:v>MEDIUM</x:v>
      </x:c>
      <x:c r="C12" s="146" t="str">
        <x:v>Policy Document; Audit Report</x:v>
      </x:c>
      <x:c r="D12" s="146" t="str">
        <x:v>NO</x:v>
      </x:c>
      <x:c r="E12" s="146" t="str">
        <x:v>ESCALATE</x:v>
      </x:c>
      <x:c r="F12" s="228" t="n">
        <x:v>2</x:v>
      </x:c>
      <x:c r="G12" s="230" t="n">
        <x:v>-8.333333333333334</x:v>
      </x:c>
    </x:row>
    <x:row r="13">
      <x:c r="A13" s="146" t="str">
        <x:v>AGAF-C-0011</x:v>
      </x:c>
      <x:c r="B13" s="146" t="str">
        <x:v>MEDIUM</x:v>
      </x:c>
      <x:c r="C13" s="146" t="str">
        <x:v>Policy Document; Audit Report</x:v>
      </x:c>
      <x:c r="D13" s="146" t="str">
        <x:v>YES</x:v>
      </x:c>
      <x:c r="E13" s="146" t="str">
        <x:v>BLOCK</x:v>
      </x:c>
      <x:c r="F13" s="228" t="n">
        <x:v>2</x:v>
      </x:c>
      <x:c r="G13" s="230" t="n">
        <x:v>-8.333333333333334</x:v>
      </x:c>
    </x:row>
    <x:row r="14">
      <x:c r="A14" s="146" t="str">
        <x:v>AGAF-C-0012</x:v>
      </x:c>
      <x:c r="B14" s="146" t="str">
        <x:v>MEDIUM</x:v>
      </x:c>
      <x:c r="C14" s="146" t="str">
        <x:v>Runtime Log; Audit Report</x:v>
      </x:c>
      <x:c r="D14" s="146" t="str">
        <x:v>YES</x:v>
      </x:c>
      <x:c r="E14" s="146" t="str">
        <x:v>ESCALATE</x:v>
      </x:c>
      <x:c r="F14" s="228" t="n">
        <x:v>2</x:v>
      </x:c>
      <x:c r="G14" s="230" t="n">
        <x:v>-8.333333333333334</x:v>
      </x:c>
    </x:row>
    <x:row r="15">
      <x:c r="A15" s="146" t="str">
        <x:v>AGAF-C-0013</x:v>
      </x:c>
      <x:c r="B15" s="146" t="str">
        <x:v>CRITICAL</x:v>
      </x:c>
      <x:c r="C15" s="146" t="str">
        <x:v>System Configuration; Runtime Log</x:v>
      </x:c>
      <x:c r="D15" s="146" t="str">
        <x:v>YES</x:v>
      </x:c>
      <x:c r="E15" s="146" t="str">
        <x:v>BLOCK</x:v>
      </x:c>
      <x:c r="F15" s="228" t="n">
        <x:v>4</x:v>
      </x:c>
      <x:c r="G15" s="230" t="n">
        <x:v>-9.090909090909092</x:v>
      </x:c>
    </x:row>
    <x:row r="16">
      <x:c r="A16" s="146" t="str">
        <x:v>AGAF-C-0014</x:v>
      </x:c>
      <x:c r="B16" s="146" t="str">
        <x:v>CRITICAL</x:v>
      </x:c>
      <x:c r="C16" s="146" t="str">
        <x:v>Approval Log; Policy Document</x:v>
      </x:c>
      <x:c r="D16" s="146" t="str">
        <x:v>YES</x:v>
      </x:c>
      <x:c r="E16" s="146" t="str">
        <x:v>REVIEW</x:v>
      </x:c>
      <x:c r="F16" s="228" t="n">
        <x:v>4</x:v>
      </x:c>
      <x:c r="G16" s="230" t="n">
        <x:v>-9.090909090909092</x:v>
      </x:c>
    </x:row>
    <x:row r="17">
      <x:c r="A17" s="146" t="str">
        <x:v>AGAF-C-0015</x:v>
      </x:c>
      <x:c r="B17" s="146" t="str">
        <x:v>HIGH</x:v>
      </x:c>
      <x:c r="C17" s="146" t="str">
        <x:v>Policy Document; Audit Report</x:v>
      </x:c>
      <x:c r="D17" s="146" t="str">
        <x:v>YES</x:v>
      </x:c>
      <x:c r="E17" s="146" t="str">
        <x:v>ESCALATE</x:v>
      </x:c>
      <x:c r="F17" s="228" t="n">
        <x:v>3</x:v>
      </x:c>
      <x:c r="G17" s="230" t="n">
        <x:v>-6.818181818181818</x:v>
      </x:c>
    </x:row>
    <x:row r="18">
      <x:c r="A18" s="146" t="str">
        <x:v>AGAF-C-0016</x:v>
      </x:c>
      <x:c r="B18" s="146" t="str">
        <x:v>HIGH</x:v>
      </x:c>
      <x:c r="C18" s="146" t="str">
        <x:v>Approval Log; Policy Document</x:v>
      </x:c>
      <x:c r="D18" s="146" t="str">
        <x:v>YES</x:v>
      </x:c>
      <x:c r="E18" s="146" t="str">
        <x:v>REVIEW</x:v>
      </x:c>
      <x:c r="F18" s="228" t="n">
        <x:v>3</x:v>
      </x:c>
      <x:c r="G18" s="230" t="n">
        <x:v>-9.375</x:v>
      </x:c>
    </x:row>
    <x:row r="19">
      <x:c r="A19" s="146" t="str">
        <x:v>AGAF-C-0017</x:v>
      </x:c>
      <x:c r="B19" s="146" t="str">
        <x:v>MEDIUM</x:v>
      </x:c>
      <x:c r="C19" s="146" t="str">
        <x:v>Policy Document; Audit Report</x:v>
      </x:c>
      <x:c r="D19" s="146" t="str">
        <x:v>YES</x:v>
      </x:c>
      <x:c r="E19" s="146" t="str">
        <x:v>REVIEW</x:v>
      </x:c>
      <x:c r="F19" s="228" t="n">
        <x:v>2</x:v>
      </x:c>
      <x:c r="G19" s="230" t="n">
        <x:v>-6.25</x:v>
      </x:c>
    </x:row>
    <x:row r="20">
      <x:c r="A20" s="146" t="str">
        <x:v>AGAF-C-0018</x:v>
      </x:c>
      <x:c r="B20" s="146" t="str">
        <x:v>HIGH</x:v>
      </x:c>
      <x:c r="C20" s="146" t="str">
        <x:v>System Configuration; Runtime Log</x:v>
      </x:c>
      <x:c r="D20" s="146" t="str">
        <x:v>YES</x:v>
      </x:c>
      <x:c r="E20" s="146" t="str">
        <x:v>REVIEW</x:v>
      </x:c>
      <x:c r="F20" s="228" t="n">
        <x:v>3</x:v>
      </x:c>
      <x:c r="G20" s="230" t="n">
        <x:v>-9.375</x:v>
      </x:c>
    </x:row>
    <x:row r="21">
      <x:c r="A21" s="146" t="str">
        <x:v>AGAF-C-0019</x:v>
      </x:c>
      <x:c r="B21" s="146" t="str">
        <x:v>MEDIUM</x:v>
      </x:c>
      <x:c r="C21" s="146" t="str">
        <x:v>Training Record; Approval Log</x:v>
      </x:c>
      <x:c r="D21" s="146" t="str">
        <x:v>YES</x:v>
      </x:c>
      <x:c r="E21" s="146" t="str">
        <x:v>REVIEW</x:v>
      </x:c>
      <x:c r="F21" s="228" t="n">
        <x:v>2</x:v>
      </x:c>
      <x:c r="G21" s="230" t="n">
        <x:v>-4.166666666666667</x:v>
      </x:c>
    </x:row>
    <x:row r="22">
      <x:c r="A22" s="146" t="str">
        <x:v>AGAF-C-0020</x:v>
      </x:c>
      <x:c r="B22" s="146" t="str">
        <x:v>CRITICAL</x:v>
      </x:c>
      <x:c r="C22" s="146" t="str">
        <x:v>System Configuration; Runtime Log</x:v>
      </x:c>
      <x:c r="D22" s="146" t="str">
        <x:v>YES</x:v>
      </x:c>
      <x:c r="E22" s="146" t="str">
        <x:v>BLOCK</x:v>
      </x:c>
      <x:c r="F22" s="228" t="n">
        <x:v>4</x:v>
      </x:c>
      <x:c r="G22" s="230" t="n">
        <x:v>-8.333333333333334</x:v>
      </x:c>
    </x:row>
    <x:row r="23">
      <x:c r="A23" s="146" t="str">
        <x:v>AGAF-C-0021</x:v>
      </x:c>
      <x:c r="B23" s="146" t="str">
        <x:v>MEDIUM</x:v>
      </x:c>
      <x:c r="C23" s="146" t="str">
        <x:v>Runtime Log; Audit Report</x:v>
      </x:c>
      <x:c r="D23" s="146" t="str">
        <x:v>YES</x:v>
      </x:c>
      <x:c r="E23" s="146" t="str">
        <x:v>ESCALATE</x:v>
      </x:c>
      <x:c r="F23" s="228" t="n">
        <x:v>2</x:v>
      </x:c>
      <x:c r="G23" s="230" t="n">
        <x:v>-4.166666666666667</x:v>
      </x:c>
    </x:row>
    <x:row r="24">
      <x:c r="A24" s="146" t="str">
        <x:v>AGAF-C-0022</x:v>
      </x:c>
      <x:c r="B24" s="146" t="str">
        <x:v>CRITICAL</x:v>
      </x:c>
      <x:c r="C24" s="146" t="str">
        <x:v>Approval Log; Policy Document</x:v>
      </x:c>
      <x:c r="D24" s="146" t="str">
        <x:v>YES</x:v>
      </x:c>
      <x:c r="E24" s="146" t="str">
        <x:v>REVIEW</x:v>
      </x:c>
      <x:c r="F24" s="228" t="n">
        <x:v>4</x:v>
      </x:c>
      <x:c r="G24" s="230" t="n">
        <x:v>-8.333333333333334</x:v>
      </x:c>
    </x:row>
    <x:row r="25">
      <x:c r="A25" s="146" t="str">
        <x:v>AGAF-C-0023</x:v>
      </x:c>
      <x:c r="B25" s="146" t="str">
        <x:v>CRITICAL</x:v>
      </x:c>
      <x:c r="C25" s="146" t="str">
        <x:v>Approval Log; Policy Document</x:v>
      </x:c>
      <x:c r="D25" s="146" t="str">
        <x:v>YES</x:v>
      </x:c>
      <x:c r="E25" s="146" t="str">
        <x:v>REVIEW</x:v>
      </x:c>
      <x:c r="F25" s="228" t="n">
        <x:v>4</x:v>
      </x:c>
      <x:c r="G25" s="230" t="n">
        <x:v>-8.333333333333334</x:v>
      </x:c>
    </x:row>
    <x:row r="26">
      <x:c r="A26" s="146" t="str">
        <x:v>AGAF-C-0024</x:v>
      </x:c>
      <x:c r="B26" s="146" t="str">
        <x:v>CRITICAL</x:v>
      </x:c>
      <x:c r="C26" s="146" t="str">
        <x:v>Approval Log; Policy Document</x:v>
      </x:c>
      <x:c r="D26" s="146" t="str">
        <x:v>YES</x:v>
      </x:c>
      <x:c r="E26" s="146" t="str">
        <x:v>REVIEW</x:v>
      </x:c>
      <x:c r="F26" s="228" t="n">
        <x:v>4</x:v>
      </x:c>
      <x:c r="G26" s="230" t="n">
        <x:v>-8.333333333333334</x:v>
      </x:c>
    </x:row>
    <x:row r="27">
      <x:c r="A27" s="146" t="str">
        <x:v>AGAF-C-0025</x:v>
      </x:c>
      <x:c r="B27" s="146" t="str">
        <x:v>HIGH</x:v>
      </x:c>
      <x:c r="C27" s="146" t="str">
        <x:v>Risk Register; Audit Report</x:v>
      </x:c>
      <x:c r="D27" s="146" t="str">
        <x:v>YES</x:v>
      </x:c>
      <x:c r="E27" s="146" t="str">
        <x:v>REVIEW</x:v>
      </x:c>
      <x:c r="F27" s="228" t="n">
        <x:v>3</x:v>
      </x:c>
      <x:c r="G27" s="230" t="n">
        <x:v>-4.6875</x:v>
      </x:c>
    </x:row>
    <x:row r="28">
      <x:c r="A28" s="146" t="str">
        <x:v>AGAF-C-0026</x:v>
      </x:c>
      <x:c r="B28" s="146" t="str">
        <x:v>HIGH</x:v>
      </x:c>
      <x:c r="C28" s="146" t="str">
        <x:v>Risk Register; Audit Report</x:v>
      </x:c>
      <x:c r="D28" s="146" t="str">
        <x:v>YES</x:v>
      </x:c>
      <x:c r="E28" s="146" t="str">
        <x:v>REVIEW</x:v>
      </x:c>
      <x:c r="F28" s="228" t="n">
        <x:v>3</x:v>
      </x:c>
      <x:c r="G28" s="230" t="n">
        <x:v>-4.6875</x:v>
      </x:c>
    </x:row>
    <x:row r="29">
      <x:c r="A29" s="146" t="str">
        <x:v>AGAF-C-0027</x:v>
      </x:c>
      <x:c r="B29" s="146" t="str">
        <x:v>HIGH</x:v>
      </x:c>
      <x:c r="C29" s="146" t="str">
        <x:v>Risk Register; Audit Report</x:v>
      </x:c>
      <x:c r="D29" s="146" t="str">
        <x:v>YES</x:v>
      </x:c>
      <x:c r="E29" s="146" t="str">
        <x:v>ESCALATE</x:v>
      </x:c>
      <x:c r="F29" s="228" t="n">
        <x:v>3</x:v>
      </x:c>
      <x:c r="G29" s="230" t="n">
        <x:v>-4.6875</x:v>
      </x:c>
    </x:row>
    <x:row r="30">
      <x:c r="A30" s="146" t="str">
        <x:v>AGAF-C-0028</x:v>
      </x:c>
      <x:c r="B30" s="146" t="str">
        <x:v>MEDIUM</x:v>
      </x:c>
      <x:c r="C30" s="146" t="str">
        <x:v>System Configuration; Runtime Log</x:v>
      </x:c>
      <x:c r="D30" s="146" t="str">
        <x:v>YES</x:v>
      </x:c>
      <x:c r="E30" s="146" t="str">
        <x:v>BLOCK</x:v>
      </x:c>
      <x:c r="F30" s="228" t="n">
        <x:v>2</x:v>
      </x:c>
      <x:c r="G30" s="230" t="n">
        <x:v>-8.333333333333334</x:v>
      </x:c>
    </x:row>
    <x:row r="31">
      <x:c r="A31" s="146" t="str">
        <x:v>AGAF-C-0029</x:v>
      </x:c>
      <x:c r="B31" s="146" t="str">
        <x:v>MEDIUM</x:v>
      </x:c>
      <x:c r="C31" s="146" t="str">
        <x:v>System Configuration; Runtime Log</x:v>
      </x:c>
      <x:c r="D31" s="146" t="str">
        <x:v>YES</x:v>
      </x:c>
      <x:c r="E31" s="146" t="str">
        <x:v>REVIEW</x:v>
      </x:c>
      <x:c r="F31" s="228" t="n">
        <x:v>2</x:v>
      </x:c>
      <x:c r="G31" s="230" t="n">
        <x:v>-8.333333333333334</x:v>
      </x:c>
    </x:row>
    <x:row r="32">
      <x:c r="A32" s="146" t="str">
        <x:v>AGAF-C-0030</x:v>
      </x:c>
      <x:c r="B32" s="146" t="str">
        <x:v>MEDIUM</x:v>
      </x:c>
      <x:c r="C32" s="146" t="str">
        <x:v>System Configuration; Runtime Log</x:v>
      </x:c>
      <x:c r="D32" s="146" t="str">
        <x:v>YES</x:v>
      </x:c>
      <x:c r="E32" s="146" t="str">
        <x:v>ESCALATE</x:v>
      </x:c>
      <x:c r="F32" s="228" t="n">
        <x:v>2</x:v>
      </x:c>
      <x:c r="G32" s="230" t="n">
        <x:v>-8.333333333333334</x:v>
      </x:c>
    </x:row>
    <x:row r="33">
      <x:c r="A33" s="146" t="str">
        <x:v>AGAF-C-0031</x:v>
      </x:c>
      <x:c r="B33" s="146" t="str">
        <x:v>MEDIUM</x:v>
      </x:c>
      <x:c r="C33" s="146" t="str">
        <x:v>System Configuration; Runtime Log</x:v>
      </x:c>
      <x:c r="D33" s="146" t="str">
        <x:v>YES</x:v>
      </x:c>
      <x:c r="E33" s="146" t="str">
        <x:v>BLOCK</x:v>
      </x:c>
      <x:c r="F33" s="228" t="n">
        <x:v>2</x:v>
      </x:c>
      <x:c r="G33" s="230" t="n">
        <x:v>-8.333333333333334</x:v>
      </x:c>
    </x:row>
    <x:row r="34">
      <x:c r="A34" s="146" t="str">
        <x:v>AGAF-C-0032</x:v>
      </x:c>
      <x:c r="B34" s="146" t="str">
        <x:v>MEDIUM</x:v>
      </x:c>
      <x:c r="C34" s="146" t="str">
        <x:v>System Configuration; Runtime Log</x:v>
      </x:c>
      <x:c r="D34" s="146" t="str">
        <x:v>YES</x:v>
      </x:c>
      <x:c r="E34" s="146" t="str">
        <x:v>BLOCK</x:v>
      </x:c>
      <x:c r="F34" s="228" t="n">
        <x:v>2</x:v>
      </x:c>
      <x:c r="G34" s="230" t="n">
        <x:v>-8.333333333333334</x:v>
      </x:c>
    </x:row>
    <x:row r="35">
      <x:c r="A35" s="146" t="str">
        <x:v>AGAF-C-0033</x:v>
      </x:c>
      <x:c r="B35" s="146" t="str">
        <x:v>MEDIUM</x:v>
      </x:c>
      <x:c r="C35" s="146" t="str">
        <x:v>Vendor Assessment; Policy Document</x:v>
      </x:c>
      <x:c r="D35" s="146" t="str">
        <x:v>YES</x:v>
      </x:c>
      <x:c r="E35" s="146" t="str">
        <x:v>ESCALATE</x:v>
      </x:c>
      <x:c r="F35" s="228" t="n">
        <x:v>2</x:v>
      </x:c>
      <x:c r="G35" s="230" t="n">
        <x:v>-8.333333333333334</x:v>
      </x:c>
    </x:row>
    <x:row r="36">
      <x:c r="A36" s="146" t="str">
        <x:v>AGAF-C-0034</x:v>
      </x:c>
      <x:c r="B36" s="146" t="str">
        <x:v>HIGH</x:v>
      </x:c>
      <x:c r="C36" s="146" t="str">
        <x:v>System Configuration; Runtime Log</x:v>
      </x:c>
      <x:c r="D36" s="146" t="str">
        <x:v>YES</x:v>
      </x:c>
      <x:c r="E36" s="146" t="str">
        <x:v>REVIEW</x:v>
      </x:c>
      <x:c r="F36" s="228" t="n">
        <x:v>3</x:v>
      </x:c>
      <x:c r="G36" s="230" t="n">
        <x:v>-9.375</x:v>
      </x:c>
    </x:row>
    <x:row r="37">
      <x:c r="A37" s="146" t="str">
        <x:v>AGAF-C-0035</x:v>
      </x:c>
      <x:c r="B37" s="146" t="str">
        <x:v>MEDIUM</x:v>
      </x:c>
      <x:c r="C37" s="146" t="str">
        <x:v>Policy Document; Audit Report</x:v>
      </x:c>
      <x:c r="D37" s="146" t="str">
        <x:v>YES</x:v>
      </x:c>
      <x:c r="E37" s="146" t="str">
        <x:v>BLOCK</x:v>
      </x:c>
      <x:c r="F37" s="228" t="n">
        <x:v>2</x:v>
      </x:c>
      <x:c r="G37" s="230" t="n">
        <x:v>-6.25</x:v>
      </x:c>
    </x:row>
    <x:row r="38">
      <x:c r="A38" s="146" t="str">
        <x:v>AGAF-C-0036</x:v>
      </x:c>
      <x:c r="B38" s="146" t="str">
        <x:v>HIGH</x:v>
      </x:c>
      <x:c r="C38" s="146" t="str">
        <x:v>System Configuration; Runtime Log</x:v>
      </x:c>
      <x:c r="D38" s="146" t="str">
        <x:v>YES</x:v>
      </x:c>
      <x:c r="E38" s="146" t="str">
        <x:v>REVIEW</x:v>
      </x:c>
      <x:c r="F38" s="228" t="n">
        <x:v>3</x:v>
      </x:c>
      <x:c r="G38" s="230" t="n">
        <x:v>-9.375</x:v>
      </x:c>
    </x:row>
    <x:row r="39">
      <x:c r="A39" s="146" t="str">
        <x:v>AGAF-C-0037</x:v>
      </x:c>
      <x:c r="B39" s="146" t="str">
        <x:v>HIGH</x:v>
      </x:c>
      <x:c r="C39" s="146" t="str">
        <x:v>System Configuration; Runtime Log</x:v>
      </x:c>
      <x:c r="D39" s="146" t="str">
        <x:v>YES</x:v>
      </x:c>
      <x:c r="E39" s="146" t="str">
        <x:v>ESCALATE</x:v>
      </x:c>
      <x:c r="F39" s="228" t="n">
        <x:v>3</x:v>
      </x:c>
      <x:c r="G39" s="230" t="n">
        <x:v>-9.375</x:v>
      </x:c>
    </x:row>
    <x:row r="40">
      <x:c r="A40" s="146" t="str">
        <x:v>AGAF-C-0038</x:v>
      </x:c>
      <x:c r="B40" s="146" t="str">
        <x:v>MEDIUM</x:v>
      </x:c>
      <x:c r="C40" s="146" t="str">
        <x:v>System Configuration; Runtime Log</x:v>
      </x:c>
      <x:c r="D40" s="146" t="str">
        <x:v>YES</x:v>
      </x:c>
      <x:c r="E40" s="146" t="str">
        <x:v>BLOCK</x:v>
      </x:c>
      <x:c r="F40" s="228" t="n">
        <x:v>2</x:v>
      </x:c>
      <x:c r="G40" s="230" t="n">
        <x:v>-6.25</x:v>
      </x:c>
    </x:row>
    <x:row r="41">
      <x:c r="A41" s="146" t="str">
        <x:v>AGAF-C-0039</x:v>
      </x:c>
      <x:c r="B41" s="146" t="str">
        <x:v>HIGH</x:v>
      </x:c>
      <x:c r="C41" s="146" t="str">
        <x:v>System Configuration; Runtime Log</x:v>
      </x:c>
      <x:c r="D41" s="146" t="str">
        <x:v>YES</x:v>
      </x:c>
      <x:c r="E41" s="146" t="str">
        <x:v>QUARANTINE</x:v>
      </x:c>
      <x:c r="F41" s="228" t="n">
        <x:v>3</x:v>
      </x:c>
      <x:c r="G41" s="230" t="n">
        <x:v>-9.375</x:v>
      </x:c>
    </x:row>
    <x:row r="42">
      <x:c r="A42" s="146" t="str">
        <x:v>AGAF-C-0040</x:v>
      </x:c>
      <x:c r="B42" s="146" t="str">
        <x:v>HIGH</x:v>
      </x:c>
      <x:c r="C42" s="146" t="str">
        <x:v>Policy Document; Audit Report</x:v>
      </x:c>
      <x:c r="D42" s="146" t="str">
        <x:v>NO</x:v>
      </x:c>
      <x:c r="E42" s="146" t="str">
        <x:v>ESCALATE</x:v>
      </x:c>
      <x:c r="F42" s="228" t="n">
        <x:v>3</x:v>
      </x:c>
      <x:c r="G42" s="230" t="n">
        <x:v>-9.375</x:v>
      </x:c>
    </x:row>
    <x:row r="43">
      <x:c r="A43" s="146" t="str">
        <x:v>AGAF-C-0041</x:v>
      </x:c>
      <x:c r="B43" s="146" t="str">
        <x:v>MEDIUM</x:v>
      </x:c>
      <x:c r="C43" s="146" t="str">
        <x:v>Policy Document; Audit Report</x:v>
      </x:c>
      <x:c r="D43" s="146" t="str">
        <x:v>NO</x:v>
      </x:c>
      <x:c r="E43" s="146" t="str">
        <x:v>ESCALATE</x:v>
      </x:c>
      <x:c r="F43" s="228" t="n">
        <x:v>2</x:v>
      </x:c>
      <x:c r="G43" s="230" t="n">
        <x:v>-6.25</x:v>
      </x:c>
    </x:row>
    <x:row r="44">
      <x:c r="A44" s="146" t="str">
        <x:v>AGAF-C-0042</x:v>
      </x:c>
      <x:c r="B44" s="146" t="str">
        <x:v>HIGH</x:v>
      </x:c>
      <x:c r="C44" s="146" t="str">
        <x:v>Policy Document; Audit Report</x:v>
      </x:c>
      <x:c r="D44" s="146" t="str">
        <x:v>YES</x:v>
      </x:c>
      <x:c r="E44" s="146" t="str">
        <x:v>REVIEW</x:v>
      </x:c>
      <x:c r="F44" s="228" t="n">
        <x:v>3</x:v>
      </x:c>
      <x:c r="G44" s="230" t="n">
        <x:v>-9.375</x:v>
      </x:c>
    </x:row>
    <x:row r="45">
      <x:c r="A45" s="146" t="str">
        <x:v>AGAF-C-0043</x:v>
      </x:c>
      <x:c r="B45" s="146" t="str">
        <x:v>LOW</x:v>
      </x:c>
      <x:c r="C45" s="146" t="str">
        <x:v>Approval Log; Policy Document</x:v>
      </x:c>
      <x:c r="D45" s="146" t="str">
        <x:v>YES</x:v>
      </x:c>
      <x:c r="E45" s="146" t="str">
        <x:v>REVIEW</x:v>
      </x:c>
      <x:c r="F45" s="228" t="n">
        <x:v>1</x:v>
      </x:c>
      <x:c r="G45" s="230" t="n">
        <x:v>-6.25</x:v>
      </x:c>
    </x:row>
    <x:row r="46">
      <x:c r="A46" s="146" t="str">
        <x:v>AGAF-C-0044</x:v>
      </x:c>
      <x:c r="B46" s="146" t="str">
        <x:v>LOW</x:v>
      </x:c>
      <x:c r="C46" s="146" t="str">
        <x:v>Policy Document; Audit Report</x:v>
      </x:c>
      <x:c r="D46" s="146" t="str">
        <x:v>YES</x:v>
      </x:c>
      <x:c r="E46" s="146" t="str">
        <x:v>REVIEW</x:v>
      </x:c>
      <x:c r="F46" s="228" t="n">
        <x:v>1</x:v>
      </x:c>
      <x:c r="G46" s="230" t="n">
        <x:v>-6.25</x:v>
      </x:c>
    </x:row>
    <x:row r="47">
      <x:c r="A47" s="146" t="str">
        <x:v>AGAF-C-0045</x:v>
      </x:c>
      <x:c r="B47" s="146" t="str">
        <x:v>MEDIUM</x:v>
      </x:c>
      <x:c r="C47" s="146" t="str">
        <x:v>Policy Document; Audit Report</x:v>
      </x:c>
      <x:c r="D47" s="146" t="str">
        <x:v>YES</x:v>
      </x:c>
      <x:c r="E47" s="146" t="str">
        <x:v>REVIEW</x:v>
      </x:c>
      <x:c r="F47" s="228" t="n">
        <x:v>2</x:v>
      </x:c>
      <x:c r="G47" s="230" t="n">
        <x:v>-12.5</x:v>
      </x:c>
    </x:row>
    <x:row r="48">
      <x:c r="A48" s="146" t="str">
        <x:v>AGAF-C-0046</x:v>
      </x:c>
      <x:c r="B48" s="146" t="str">
        <x:v>MEDIUM</x:v>
      </x:c>
      <x:c r="C48" s="146" t="str">
        <x:v>Policy Document; Audit Report</x:v>
      </x:c>
      <x:c r="D48" s="146" t="str">
        <x:v>YES</x:v>
      </x:c>
      <x:c r="E48" s="146" t="str">
        <x:v>REVIEW</x:v>
      </x:c>
      <x:c r="F48" s="228" t="n">
        <x:v>2</x:v>
      </x:c>
      <x:c r="G48" s="230" t="n">
        <x:v>-8.333333333333334</x:v>
      </x:c>
    </x:row>
    <x:row r="49">
      <x:c r="A49" s="146" t="str">
        <x:v>AGAF-C-0047</x:v>
      </x:c>
      <x:c r="B49" s="146" t="str">
        <x:v>MEDIUM</x:v>
      </x:c>
      <x:c r="C49" s="146" t="str">
        <x:v>Policy Document; Audit Report</x:v>
      </x:c>
      <x:c r="D49" s="146" t="str">
        <x:v>YES</x:v>
      </x:c>
      <x:c r="E49" s="146" t="str">
        <x:v>REVIEW</x:v>
      </x:c>
      <x:c r="F49" s="228" t="n">
        <x:v>2</x:v>
      </x:c>
      <x:c r="G49" s="230" t="n">
        <x:v>-8.333333333333334</x:v>
      </x:c>
    </x:row>
    <x:row r="50">
      <x:c r="A50" s="146" t="str">
        <x:v>AGAF-C-0048</x:v>
      </x:c>
      <x:c r="B50" s="146" t="str">
        <x:v>MEDIUM</x:v>
      </x:c>
      <x:c r="C50" s="146" t="str">
        <x:v>System Configuration; Runtime Log</x:v>
      </x:c>
      <x:c r="D50" s="146" t="str">
        <x:v>YES</x:v>
      </x:c>
      <x:c r="E50" s="146" t="str">
        <x:v>BLOCK</x:v>
      </x:c>
      <x:c r="F50" s="228" t="n">
        <x:v>2</x:v>
      </x:c>
      <x:c r="G50" s="230" t="n">
        <x:v>-8.333333333333334</x:v>
      </x:c>
    </x:row>
    <x:row r="51">
      <x:c r="A51" s="146" t="str">
        <x:v>AGAF-C-0049</x:v>
      </x:c>
      <x:c r="B51" s="146" t="str">
        <x:v>HIGH</x:v>
      </x:c>
      <x:c r="C51" s="146" t="str">
        <x:v>System Configuration; Runtime Log</x:v>
      </x:c>
      <x:c r="D51" s="146" t="str">
        <x:v>YES</x:v>
      </x:c>
      <x:c r="E51" s="146" t="str">
        <x:v>ESCALATE</x:v>
      </x:c>
      <x:c r="F51" s="228" t="n">
        <x:v>3</x:v>
      </x:c>
      <x:c r="G51" s="230" t="n">
        <x:v>-8.333333333333334</x:v>
      </x:c>
    </x:row>
    <x:row r="52">
      <x:c r="A52" s="146" t="str">
        <x:v>AGAF-C-0050</x:v>
      </x:c>
      <x:c r="B52" s="146" t="str">
        <x:v>HIGH</x:v>
      </x:c>
      <x:c r="C52" s="146" t="str">
        <x:v>System Configuration; Runtime Log</x:v>
      </x:c>
      <x:c r="D52" s="146" t="str">
        <x:v>YES</x:v>
      </x:c>
      <x:c r="E52" s="146" t="str">
        <x:v>BLOCK</x:v>
      </x:c>
      <x:c r="F52" s="228" t="n">
        <x:v>3</x:v>
      </x:c>
      <x:c r="G52" s="230" t="n">
        <x:v>-8.333333333333334</x:v>
      </x:c>
    </x:row>
    <x:row r="53">
      <x:c r="A53" s="146" t="str">
        <x:v>AGAF-C-0051</x:v>
      </x:c>
      <x:c r="B53" s="146" t="str">
        <x:v>HIGH</x:v>
      </x:c>
      <x:c r="C53" s="146" t="str">
        <x:v>System Configuration; Runtime Log</x:v>
      </x:c>
      <x:c r="D53" s="146" t="str">
        <x:v>YES</x:v>
      </x:c>
      <x:c r="E53" s="146" t="str">
        <x:v>REVIEW</x:v>
      </x:c>
      <x:c r="F53" s="228" t="n">
        <x:v>3</x:v>
      </x:c>
      <x:c r="G53" s="230" t="n">
        <x:v>-8.333333333333334</x:v>
      </x:c>
    </x:row>
    <x:row r="54">
      <x:c r="A54" s="146" t="str">
        <x:v>AGAF-C-0052</x:v>
      </x:c>
      <x:c r="B54" s="146" t="str">
        <x:v>HIGH</x:v>
      </x:c>
      <x:c r="C54" s="146" t="str">
        <x:v>Model Registry; Approval Log</x:v>
      </x:c>
      <x:c r="D54" s="146" t="str">
        <x:v>YES</x:v>
      </x:c>
      <x:c r="E54" s="146" t="str">
        <x:v>ESCALATE</x:v>
      </x:c>
      <x:c r="F54" s="228" t="n">
        <x:v>3</x:v>
      </x:c>
      <x:c r="G54" s="230" t="n">
        <x:v>-8.333333333333334</x:v>
      </x:c>
    </x:row>
    <x:row r="55">
      <x:c r="A55" s="146" t="str">
        <x:v>AGAF-C-0053</x:v>
      </x:c>
      <x:c r="B55" s="146" t="str">
        <x:v>HIGH</x:v>
      </x:c>
      <x:c r="C55" s="146" t="str">
        <x:v>Model Registry; Approval Log</x:v>
      </x:c>
      <x:c r="D55" s="146" t="str">
        <x:v>YES</x:v>
      </x:c>
      <x:c r="E55" s="146" t="str">
        <x:v>REVIEW</x:v>
      </x:c>
      <x:c r="F55" s="228" t="n">
        <x:v>3</x:v>
      </x:c>
      <x:c r="G55" s="230" t="n">
        <x:v>-8.333333333333334</x:v>
      </x:c>
    </x:row>
    <x:row r="56">
      <x:c r="A56" s="146" t="str">
        <x:v>AGAF-C-0054</x:v>
      </x:c>
      <x:c r="B56" s="146" t="str">
        <x:v>HIGH</x:v>
      </x:c>
      <x:c r="C56" s="146" t="str">
        <x:v>Model Registry; Approval Log</x:v>
      </x:c>
      <x:c r="D56" s="146" t="str">
        <x:v>YES</x:v>
      </x:c>
      <x:c r="E56" s="146" t="str">
        <x:v>ESCALATE</x:v>
      </x:c>
      <x:c r="F56" s="228" t="n">
        <x:v>3</x:v>
      </x:c>
      <x:c r="G56" s="230" t="n">
        <x:v>-8.333333333333334</x:v>
      </x:c>
    </x:row>
    <x:row r="57">
      <x:c r="A57" s="146" t="str">
        <x:v>AGAF-C-0055</x:v>
      </x:c>
      <x:c r="B57" s="146" t="str">
        <x:v>MEDIUM</x:v>
      </x:c>
      <x:c r="C57" s="146" t="str">
        <x:v>Vendor Assessment; Policy Document</x:v>
      </x:c>
      <x:c r="D57" s="146" t="str">
        <x:v>YES</x:v>
      </x:c>
      <x:c r="E57" s="146" t="str">
        <x:v>ESCALATE</x:v>
      </x:c>
      <x:c r="F57" s="228" t="n">
        <x:v>2</x:v>
      </x:c>
      <x:c r="G57" s="230" t="n">
        <x:v>-7.142857142857143</x:v>
      </x:c>
    </x:row>
    <x:row r="58">
      <x:c r="A58" s="146" t="str">
        <x:v>AGAF-C-0056</x:v>
      </x:c>
      <x:c r="B58" s="146" t="str">
        <x:v>MEDIUM</x:v>
      </x:c>
      <x:c r="C58" s="146" t="str">
        <x:v>Policy Document; Audit Report</x:v>
      </x:c>
      <x:c r="D58" s="146" t="str">
        <x:v>YES</x:v>
      </x:c>
      <x:c r="E58" s="146" t="str">
        <x:v>REVIEW</x:v>
      </x:c>
      <x:c r="F58" s="228" t="n">
        <x:v>2</x:v>
      </x:c>
      <x:c r="G58" s="230" t="n">
        <x:v>-7.142857142857143</x:v>
      </x:c>
    </x:row>
    <x:row r="59">
      <x:c r="A59" s="146" t="str">
        <x:v>AGAF-C-0057</x:v>
      </x:c>
      <x:c r="B59" s="146" t="str">
        <x:v>HIGH</x:v>
      </x:c>
      <x:c r="C59" s="146" t="str">
        <x:v>Vendor Assessment; Policy Document</x:v>
      </x:c>
      <x:c r="D59" s="146" t="str">
        <x:v>YES</x:v>
      </x:c>
      <x:c r="E59" s="146" t="str">
        <x:v>ESCALATE</x:v>
      </x:c>
      <x:c r="F59" s="228" t="n">
        <x:v>3</x:v>
      </x:c>
      <x:c r="G59" s="230" t="n">
        <x:v>-10.714285714285714</x:v>
      </x:c>
    </x:row>
    <x:row r="60">
      <x:c r="A60" s="146" t="str">
        <x:v>AGAF-C-0058</x:v>
      </x:c>
      <x:c r="B60" s="146" t="str">
        <x:v>MEDIUM</x:v>
      </x:c>
      <x:c r="C60" s="146" t="str">
        <x:v>Vendor Assessment; Policy Document</x:v>
      </x:c>
      <x:c r="D60" s="146" t="str">
        <x:v>NO</x:v>
      </x:c>
      <x:c r="E60" s="146" t="str">
        <x:v>ESCALATE</x:v>
      </x:c>
      <x:c r="F60" s="228" t="n">
        <x:v>2</x:v>
      </x:c>
      <x:c r="G60" s="230" t="n">
        <x:v>-7.142857142857143</x:v>
      </x:c>
    </x:row>
    <x:row r="61">
      <x:c r="A61" s="146" t="str">
        <x:v>AGAF-C-0059</x:v>
      </x:c>
      <x:c r="B61" s="146" t="str">
        <x:v>HIGH</x:v>
      </x:c>
      <x:c r="C61" s="146" t="str">
        <x:v>System Configuration; Runtime Log</x:v>
      </x:c>
      <x:c r="D61" s="146" t="str">
        <x:v>YES</x:v>
      </x:c>
      <x:c r="E61" s="146" t="str">
        <x:v>BLOCK</x:v>
      </x:c>
      <x:c r="F61" s="228" t="n">
        <x:v>3</x:v>
      </x:c>
      <x:c r="G61" s="230" t="n">
        <x:v>-10.714285714285714</x:v>
      </x:c>
    </x:row>
    <x:row r="62">
      <x:c r="A62" s="146" t="str">
        <x:v>AGAF-C-0060</x:v>
      </x:c>
      <x:c r="B62" s="146" t="str">
        <x:v>MEDIUM</x:v>
      </x:c>
      <x:c r="C62" s="146" t="str">
        <x:v>Vendor Assessment; Policy Document</x:v>
      </x:c>
      <x:c r="D62" s="146" t="str">
        <x:v>YES</x:v>
      </x:c>
      <x:c r="E62" s="146" t="str">
        <x:v>ESCALATE</x:v>
      </x:c>
      <x:c r="F62" s="228" t="n">
        <x:v>2</x:v>
      </x:c>
      <x:c r="G62" s="230" t="n">
        <x:v>-7.142857142857143</x:v>
      </x:c>
    </x:row>
    <x:row r="63">
      <x:c r="A63" s="146" t="str">
        <x:v>AGAF-C-0061</x:v>
      </x:c>
      <x:c r="B63" s="146" t="str">
        <x:v>MEDIUM</x:v>
      </x:c>
      <x:c r="C63" s="146" t="str">
        <x:v>Policy Document; Audit Report</x:v>
      </x:c>
      <x:c r="D63" s="146" t="str">
        <x:v>NO</x:v>
      </x:c>
      <x:c r="E63" s="146" t="str">
        <x:v>ESCALATE</x:v>
      </x:c>
      <x:c r="F63" s="228" t="n">
        <x:v>2</x:v>
      </x:c>
      <x:c r="G63" s="230" t="n">
        <x:v>-6.25</x:v>
      </x:c>
    </x:row>
    <x:row r="64">
      <x:c r="A64" s="146" t="str">
        <x:v>AGAF-C-0062</x:v>
      </x:c>
      <x:c r="B64" s="146" t="str">
        <x:v>CRITICAL</x:v>
      </x:c>
      <x:c r="C64" s="146" t="str">
        <x:v>Approval Log; Policy Document</x:v>
      </x:c>
      <x:c r="D64" s="146" t="str">
        <x:v>YES</x:v>
      </x:c>
      <x:c r="E64" s="146" t="str">
        <x:v>ESCALATE</x:v>
      </x:c>
      <x:c r="F64" s="228" t="n">
        <x:v>4</x:v>
      </x:c>
      <x:c r="G64" s="230" t="n">
        <x:v>-12.5</x:v>
      </x:c>
    </x:row>
    <x:row r="65">
      <x:c r="A65" s="146" t="str">
        <x:v>AGAF-C-0063</x:v>
      </x:c>
      <x:c r="B65" s="146" t="str">
        <x:v>MEDIUM</x:v>
      </x:c>
      <x:c r="C65" s="146" t="str">
        <x:v>Runtime Log; Audit Report</x:v>
      </x:c>
      <x:c r="D65" s="146" t="str">
        <x:v>YES</x:v>
      </x:c>
      <x:c r="E65" s="146" t="str">
        <x:v>ESCALATE</x:v>
      </x:c>
      <x:c r="F65" s="228" t="n">
        <x:v>2</x:v>
      </x:c>
      <x:c r="G65" s="230" t="n">
        <x:v>-6.25</x:v>
      </x:c>
    </x:row>
    <x:row r="66">
      <x:c r="A66" s="146" t="str">
        <x:v>AGAF-C-0064</x:v>
      </x:c>
      <x:c r="B66" s="146" t="str">
        <x:v>MEDIUM</x:v>
      </x:c>
      <x:c r="C66" s="146" t="str">
        <x:v>Runtime Log; Audit Report</x:v>
      </x:c>
      <x:c r="D66" s="146" t="str">
        <x:v>YES</x:v>
      </x:c>
      <x:c r="E66" s="146" t="str">
        <x:v>REVIEW</x:v>
      </x:c>
      <x:c r="F66" s="228" t="n">
        <x:v>2</x:v>
      </x:c>
      <x:c r="G66" s="230" t="n">
        <x:v>-7.142857142857143</x:v>
      </x:c>
    </x:row>
    <x:row r="67">
      <x:c r="A67" s="146" t="str">
        <x:v>AGAF-C-0065</x:v>
      </x:c>
      <x:c r="B67" s="146" t="str">
        <x:v>HIGH</x:v>
      </x:c>
      <x:c r="C67" s="146" t="str">
        <x:v>Runtime Log; Audit Report</x:v>
      </x:c>
      <x:c r="D67" s="146" t="str">
        <x:v>YES</x:v>
      </x:c>
      <x:c r="E67" s="146" t="str">
        <x:v>ESCALATE</x:v>
      </x:c>
      <x:c r="F67" s="228" t="n">
        <x:v>3</x:v>
      </x:c>
      <x:c r="G67" s="230" t="n">
        <x:v>-10.714285714285714</x:v>
      </x:c>
    </x:row>
    <x:row r="68">
      <x:c r="A68" s="146" t="str">
        <x:v>AGAF-C-0066</x:v>
      </x:c>
      <x:c r="B68" s="146" t="str">
        <x:v>MEDIUM</x:v>
      </x:c>
      <x:c r="C68" s="146" t="str">
        <x:v>Runtime Log; Audit Report</x:v>
      </x:c>
      <x:c r="D68" s="146" t="str">
        <x:v>YES</x:v>
      </x:c>
      <x:c r="E68" s="146" t="str">
        <x:v>ESCALATE</x:v>
      </x:c>
      <x:c r="F68" s="228" t="n">
        <x:v>2</x:v>
      </x:c>
      <x:c r="G68" s="230" t="n">
        <x:v>-7.142857142857143</x:v>
      </x:c>
    </x:row>
    <x:row r="69">
      <x:c r="A69" s="146" t="str">
        <x:v>AGAF-C-0067</x:v>
      </x:c>
      <x:c r="B69" s="146" t="str">
        <x:v>MEDIUM</x:v>
      </x:c>
      <x:c r="C69" s="146" t="str">
        <x:v>Policy Document; Audit Report</x:v>
      </x:c>
      <x:c r="D69" s="146" t="str">
        <x:v>YES</x:v>
      </x:c>
      <x:c r="E69" s="146" t="str">
        <x:v>REVIEW</x:v>
      </x:c>
      <x:c r="F69" s="228" t="n">
        <x:v>2</x:v>
      </x:c>
      <x:c r="G69" s="230" t="n">
        <x:v>-8.333333333333334</x:v>
      </x:c>
    </x:row>
    <x:row r="70">
      <x:c r="A70" s="146" t="str">
        <x:v>AGAF-C-0068</x:v>
      </x:c>
      <x:c r="B70" s="146" t="str">
        <x:v>MEDIUM</x:v>
      </x:c>
      <x:c r="C70" s="146" t="str">
        <x:v>Policy Document; Audit Report</x:v>
      </x:c>
      <x:c r="D70" s="146" t="str">
        <x:v>YES</x:v>
      </x:c>
      <x:c r="E70" s="146" t="str">
        <x:v>REVIEW</x:v>
      </x:c>
      <x:c r="F70" s="228" t="n">
        <x:v>2</x:v>
      </x:c>
      <x:c r="G70" s="230" t="n">
        <x:v>-8.333333333333334</x:v>
      </x:c>
    </x:row>
    <x:row r="71">
      <x:c r="A71" s="146" t="str">
        <x:v>AGAF-C-0069</x:v>
      </x:c>
      <x:c r="B71" s="146" t="str">
        <x:v>MEDIUM</x:v>
      </x:c>
      <x:c r="C71" s="146" t="str">
        <x:v>Policy Document; Audit Report</x:v>
      </x:c>
      <x:c r="D71" s="146" t="str">
        <x:v>YES</x:v>
      </x:c>
      <x:c r="E71" s="146" t="str">
        <x:v>REVIEW</x:v>
      </x:c>
      <x:c r="F71" s="228" t="n">
        <x:v>2</x:v>
      </x:c>
      <x:c r="G71" s="230" t="n">
        <x:v>-8.333333333333334</x:v>
      </x:c>
    </x:row>
    <x:row r="72">
      <x:c r="A72" s="146" t="str">
        <x:v>AGAF-C-0070</x:v>
      </x:c>
      <x:c r="B72" s="146" t="str">
        <x:v>MEDIUM</x:v>
      </x:c>
      <x:c r="C72" s="146" t="str">
        <x:v>Policy Document; Audit Report</x:v>
      </x:c>
      <x:c r="D72" s="146" t="str">
        <x:v>YES</x:v>
      </x:c>
      <x:c r="E72" s="146" t="str">
        <x:v>REVIEW</x:v>
      </x:c>
      <x:c r="F72" s="228" t="n">
        <x:v>2</x:v>
      </x:c>
      <x:c r="G72" s="230" t="n">
        <x:v>-6.25</x:v>
      </x:c>
    </x:row>
    <x:row r="73">
      <x:c r="A73" s="146" t="str">
        <x:v>AGAF-C-0071</x:v>
      </x:c>
      <x:c r="B73" s="146" t="str">
        <x:v>HIGH</x:v>
      </x:c>
      <x:c r="C73" s="146" t="str">
        <x:v>Policy Document; Audit Report</x:v>
      </x:c>
      <x:c r="D73" s="146" t="str">
        <x:v>YES</x:v>
      </x:c>
      <x:c r="E73" s="146" t="str">
        <x:v>BLOCK</x:v>
      </x:c>
      <x:c r="F73" s="228" t="n">
        <x:v>3</x:v>
      </x:c>
      <x:c r="G73" s="230" t="n">
        <x:v>-9.375</x:v>
      </x:c>
    </x:row>
    <x:row r="74">
      <x:c r="A74" s="146" t="str">
        <x:v>AGAF-C-0072</x:v>
      </x:c>
      <x:c r="B74" s="146" t="str">
        <x:v>HIGH</x:v>
      </x:c>
      <x:c r="C74" s="146" t="str">
        <x:v>Policy Document; Audit Report</x:v>
      </x:c>
      <x:c r="D74" s="146" t="str">
        <x:v>YES</x:v>
      </x:c>
      <x:c r="E74" s="146" t="str">
        <x:v>ESCALATE</x:v>
      </x:c>
      <x:c r="F74" s="228" t="n">
        <x:v>3</x:v>
      </x:c>
      <x:c r="G74" s="230" t="n">
        <x:v>-9.375</x:v>
      </x:c>
    </x:row>
    <x:row r="75">
      <x:c r="A75" s="146" t="str">
        <x:v>AGAF-C-0073</x:v>
      </x:c>
      <x:c r="B75" s="146" t="str">
        <x:v>HIGH</x:v>
      </x:c>
      <x:c r="C75" s="146" t="str">
        <x:v>Policy Document; Audit Report</x:v>
      </x:c>
      <x:c r="D75" s="146" t="str">
        <x:v>YES</x:v>
      </x:c>
      <x:c r="E75" s="146" t="str">
        <x:v>REVIEW</x:v>
      </x:c>
      <x:c r="F75" s="228" t="n">
        <x:v>3</x:v>
      </x:c>
      <x:c r="G75" s="230" t="n">
        <x:v>-8.333333333333334</x:v>
      </x:c>
    </x:row>
    <x:row r="76">
      <x:c r="A76" s="146" t="str">
        <x:v>AGAF-C-0074</x:v>
      </x:c>
      <x:c r="B76" s="146" t="str">
        <x:v>HIGH</x:v>
      </x:c>
      <x:c r="C76" s="146" t="str">
        <x:v>Model Registry; Approval Log</x:v>
      </x:c>
      <x:c r="D76" s="146" t="str">
        <x:v>YES</x:v>
      </x:c>
      <x:c r="E76" s="146" t="str">
        <x:v>REVIEW</x:v>
      </x:c>
      <x:c r="F76" s="228" t="n">
        <x:v>3</x:v>
      </x:c>
      <x:c r="G76" s="230" t="n">
        <x:v>-8.333333333333334</x:v>
      </x:c>
    </x:row>
    <x:row r="77">
      <x:c r="A77" s="146" t="str">
        <x:v>AGAF-C-0075</x:v>
      </x:c>
      <x:c r="B77" s="146" t="str">
        <x:v>HIGH</x:v>
      </x:c>
      <x:c r="C77" s="146" t="str">
        <x:v>Policy Document; Audit Report</x:v>
      </x:c>
      <x:c r="D77" s="146" t="str">
        <x:v>YES</x:v>
      </x:c>
      <x:c r="E77" s="146" t="str">
        <x:v>ESCALATE</x:v>
      </x:c>
      <x:c r="F77" s="228" t="n">
        <x:v>3</x:v>
      </x:c>
      <x:c r="G77" s="230" t="n">
        <x:v>-8.333333333333334</x:v>
      </x:c>
    </x:row>
    <x:row r="78">
      <x:c r="A78" s="146" t="str">
        <x:v>AGAF-C-0076</x:v>
      </x:c>
      <x:c r="B78" s="146" t="str">
        <x:v>MEDIUM</x:v>
      </x:c>
      <x:c r="C78" s="146" t="str">
        <x:v>Committee Minutes; Policy Document</x:v>
      </x:c>
      <x:c r="D78" s="146" t="str">
        <x:v>NO</x:v>
      </x:c>
      <x:c r="E78" s="146" t="str">
        <x:v>ESCALATE</x:v>
      </x:c>
      <x:c r="F78" s="228" t="n">
        <x:v>2</x:v>
      </x:c>
      <x:c r="G78" s="230" t="n">
        <x:v>-8.333333333333334</x:v>
      </x:c>
    </x:row>
    <x:row r="79">
      <x:c r="A79" s="146" t="str">
        <x:v>AGAF-C-0077</x:v>
      </x:c>
      <x:c r="B79" s="146" t="str">
        <x:v>MEDIUM</x:v>
      </x:c>
      <x:c r="C79" s="146" t="str">
        <x:v>Committee Minutes; Policy Document</x:v>
      </x:c>
      <x:c r="D79" s="146" t="str">
        <x:v>NO</x:v>
      </x:c>
      <x:c r="E79" s="146" t="str">
        <x:v>ESCALATE</x:v>
      </x:c>
      <x:c r="F79" s="228" t="n">
        <x:v>2</x:v>
      </x:c>
      <x:c r="G79" s="230" t="n">
        <x:v>-8.333333333333334</x:v>
      </x:c>
    </x:row>
    <x:row r="80">
      <x:c r="A80" s="147" t="str">
        <x:v>AGAF-C-0078</x:v>
      </x:c>
      <x:c r="B80" s="147" t="str">
        <x:v>MEDIUM</x:v>
      </x:c>
      <x:c r="C80" s="147" t="str">
        <x:v>Committee Minutes; Policy Document</x:v>
      </x:c>
      <x:c r="D80" s="147" t="str">
        <x:v>YES</x:v>
      </x:c>
      <x:c r="E80" s="147" t="str">
        <x:v>REVIEW</x:v>
      </x:c>
      <x:c r="F80" s="229" t="n">
        <x:v>2</x:v>
      </x:c>
      <x:c r="G80" s="231" t="n">
        <x:v>-8.333333333333334</x:v>
      </x:c>
    </x:row>
  </x:sheetData>
  <x:mergeCells>
    <x:mergeCell ref="A1:G1"/>
  </x:mergeCells>
  <x:conditionalFormatting sqref="B3:B80">
    <x:cfRule type="expression" dxfId="22" priority="1">
      <x:formula>$B3="CRITICAL"</x:formula>
    </x:cfRule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8" hidden="0" customWidth="1"/>
  </x:cols>
  <x:sheetData>
    <x:row r="1">
      <x:c r="A1" s="217" t="str">
        <x:v>AGAF Maturity Levels</x:v>
      </x:c>
      <x:c r="B1" s="217"/>
      <x:c r="C1" s="217"/>
      <x:c r="D1" s="217"/>
    </x:row>
    <x:row r="2">
      <x:c r="A2" s="232" t="str">
        <x:v>Score Range</x:v>
      </x:c>
      <x:c r="B2" s="232" t="str">
        <x:v>Maturity Level</x:v>
      </x:c>
      <x:c r="C2" s="232" t="str">
        <x:v>Meaning</x:v>
      </x:c>
      <x:c r="D2" s="232" t="str">
        <x:v>Recommended Action</x:v>
      </x:c>
    </x:row>
    <x:row r="3" ht="54" customHeight="1">
      <x:c r="A3" s="161" t="str">
        <x:v>0-25</x:v>
      </x:c>
      <x:c r="B3" s="161" t="str">
        <x:v>Immature</x:v>
      </x:c>
      <x:c r="C3" s="161" t="str">
        <x:v>AI risks are largely uncontrolled and evidence is insufficient.</x:v>
      </x:c>
      <x:c r="D3" s="161" t="str">
        <x:v>Establish ownership, minimum controls and evidence collection immediately.</x:v>
      </x:c>
    </x:row>
    <x:row r="4" ht="54" customHeight="1">
      <x:c r="A4" s="161" t="str">
        <x:v>26-50</x:v>
      </x:c>
      <x:c r="B4" s="161" t="str">
        <x:v>Developing</x:v>
      </x:c>
      <x:c r="C4" s="161" t="str">
        <x:v>Core controls exist but coverage and operational consistency remain weak.</x:v>
      </x:c>
      <x:c r="D4" s="161" t="str">
        <x:v>Prioritize high and critical gaps with accountable remediation plans.</x:v>
      </x:c>
    </x:row>
    <x:row r="5" ht="54" customHeight="1">
      <x:c r="A5" s="161" t="str">
        <x:v>51-75</x:v>
      </x:c>
      <x:c r="B5" s="161" t="str">
        <x:v>Managed</x:v>
      </x:c>
      <x:c r="C5" s="161" t="str">
        <x:v>Controls are defined and partly evidenced, but runtime and governance coverage are uneven.</x:v>
      </x:c>
      <x:c r="D5" s="161" t="str">
        <x:v>Close evidence and runtime gaps; test control effectiveness regularly.</x:v>
      </x:c>
    </x:row>
    <x:row r="6" ht="54" customHeight="1">
      <x:c r="A6" s="161" t="str">
        <x:v>76-90</x:v>
      </x:c>
      <x:c r="B6" s="161" t="str">
        <x:v>Governed</x:v>
      </x:c>
      <x:c r="C6" s="161" t="str">
        <x:v>Risk controls, evidence, runtime rules and governance reporting operate consistently.</x:v>
      </x:c>
      <x:c r="D6" s="161" t="str">
        <x:v>Optimize effectiveness, monitor residual risk and strengthen assurance.</x:v>
      </x:c>
    </x:row>
    <x:row r="7" ht="54" customHeight="1">
      <x:c r="A7" s="163" t="str">
        <x:v>91-100</x:v>
      </x:c>
      <x:c r="B7" s="163" t="str">
        <x:v>Trusted AI Organization</x:v>
      </x:c>
      <x:c r="C7" s="163" t="str">
        <x:v>AI risk is demonstrably controllable with strong evidence and accountable oversight.</x:v>
      </x:c>
      <x:c r="D7" s="163" t="str">
        <x:v>Maintain continuous assurance and adapt controls to emerging risk.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66" hidden="0" customWidth="1"/>
    <x:col min="5" max="5" width="24" hidden="0" customWidth="1"/>
    <x:col min="6" max="6" width="72" hidden="0" customWidth="1"/>
  </x:cols>
  <x:sheetData>
    <x:row r="1">
      <x:c r="A1" s="217" t="str">
        <x:v>AGAF Scoring Summary</x:v>
      </x:c>
      <x:c r="B1" s="217"/>
      <x:c r="C1" s="217"/>
    </x:row>
    <x:row r="2">
      <x:c r="A2" s="232" t="str">
        <x:v>Metric</x:v>
      </x:c>
      <x:c r="B2" s="232" t="str">
        <x:v>Value</x:v>
      </x:c>
      <x:c r="C2" s="232" t="str">
        <x:v>Description</x:v>
      </x:c>
      <x:c r="E2" s="225" t="str">
        <x:v>Framework Principle</x:v>
      </x:c>
      <x:c r="F2" s="225" t="str">
        <x:v>Value</x:v>
      </x:c>
    </x:row>
    <x:row r="3">
      <x:c r="A3" s="146" t="str">
        <x:v>Question Count</x:v>
      </x:c>
      <x:c r="B3" s="228" t="n">
        <x:v>270</x:v>
      </x:c>
      <x:c r="C3" s="146" t="str">
        <x:v>Unique Q001-Q270 questions preserved in the workbook</x:v>
      </x:c>
      <x:c r="E3" t="str">
        <x:v>Scoring Philosophy</x:v>
      </x:c>
      <x:c r="F3" t="str">
        <x:v>The score measures whether AI risk is controllable, not whether the organization merely appears to perform well.</x:v>
      </x:c>
    </x:row>
    <x:row r="4">
      <x:c r="A4" s="146" t="str">
        <x:v>Control Count</x:v>
      </x:c>
      <x:c r="B4" s="228" t="n">
        <x:v>78</x:v>
      </x:c>
      <x:c r="C4" s="146" t="str">
        <x:v>AGAF operational controls available for scoring</x:v>
      </x:c>
      <x:c r="E4" t="str">
        <x:v>Composite Weights</x:v>
      </x:c>
      <x:c r="F4" t="str">
        <x:v>Question 20 + Control 25 + Evidence 20 + Runtime 25 + Governance 10 = 100</x:v>
      </x:c>
    </x:row>
    <x:row r="5">
      <x:c r="A5" s="146" t="str">
        <x:v>Evidence Count</x:v>
      </x:c>
      <x:c r="B5" s="228" t="n">
        <x:v>156</x:v>
      </x:c>
      <x:c r="C5" s="146" t="str">
        <x:v>Normalized evidence records available for verification</x:v>
      </x:c>
    </x:row>
    <x:row r="6">
      <x:c r="A6" s="146" t="str">
        <x:v>Runtime Rule Count</x:v>
      </x:c>
      <x:c r="B6" s="228" t="n">
        <x:v>78</x:v>
      </x:c>
      <x:c r="C6" s="146" t="str">
        <x:v>Runtime rules available for enforcement scoring</x:v>
      </x:c>
    </x:row>
    <x:row r="7">
      <x:c r="A7" s="146" t="str">
        <x:v>Report Template Count</x:v>
      </x:c>
      <x:c r="B7" s="228" t="n">
        <x:v>5</x:v>
      </x:c>
      <x:c r="C7" s="146" t="str">
        <x:v>Governance report templates available for governance scoring</x:v>
      </x:c>
    </x:row>
    <x:row r="8">
      <x:c r="A8" s="146" t="str">
        <x:v>Domain Count</x:v>
      </x:c>
      <x:c r="B8" s="228" t="n">
        <x:v>25</x:v>
      </x:c>
      <x:c r="C8" s="146" t="str">
        <x:v>Fixed AGAF domains D01-D25</x:v>
      </x:c>
    </x:row>
    <x:row r="9">
      <x:c r="A9" s="147" t="str">
        <x:v>Scoring Version</x:v>
      </x:c>
      <x:c r="B9" s="229" t="str">
        <x:v>AGAF-SCORE-v1.0</x:v>
      </x:c>
      <x:c r="C9" s="147" t="str">
        <x:v>Versioned scoring framework metadata</x:v>
      </x:c>
    </x:row>
  </x:sheetData>
  <x:mergeCells>
    <x:mergeCell ref="A1:C1"/>
  </x:mergeCells>
  <x:pageMargins left="0.7" right="0.7" top="0.75" bottom="0.75" header="0.3" footer="0.3"/>
</x:worksheet>
</file>